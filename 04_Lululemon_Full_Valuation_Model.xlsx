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2CF185-E405-4ACF-8628-A7948BA3C1CC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Business Line By Segm" sheetId="2" state="hidden" r:id="rId1"/>
    <sheet name="Business Line By Stat" sheetId="3" state="hidden" r:id="rId2"/>
    <sheet name="Geographic Line By Se" sheetId="4" state="hidden" r:id="rId3"/>
    <sheet name="Geographic Line By St" sheetId="5" state="hidden" r:id="rId4"/>
    <sheet name="Product Line By Segme" sheetId="6" state="hidden" r:id="rId5"/>
    <sheet name="Product Line By State" sheetId="7" state="hidden" r:id="rId6"/>
    <sheet name="Income Statement" sheetId="8" state="hidden" r:id="rId7"/>
    <sheet name="Balance Sheet" sheetId="9" state="hidden" r:id="rId8"/>
    <sheet name="Cash Flow" sheetId="10" state="hidden" r:id="rId9"/>
    <sheet name="Pension" sheetId="11" state="hidden" r:id="rId10"/>
    <sheet name="Financial Summary" sheetId="12" state="hidden" r:id="rId11"/>
    <sheet name="Valuation" sheetId="13" state="hidden" r:id="rId12"/>
    <sheet name="VALUATION CALC" sheetId="15" r:id="rId13"/>
    <sheet name="DCF" sheetId="16" state="hidden" r:id="rId14"/>
    <sheet name="MULTIPLES" sheetId="17" state="hidden" r:id="rId15"/>
    <sheet name="Operating Metrics" sheetId="14" state="hidden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5" l="1"/>
  <c r="B65" i="15" l="1"/>
  <c r="F61" i="15" s="1"/>
  <c r="A39" i="15" l="1"/>
  <c r="I64" i="15"/>
  <c r="H64" i="15"/>
  <c r="G64" i="15"/>
  <c r="J40" i="15"/>
  <c r="J29" i="15"/>
  <c r="J28" i="15"/>
  <c r="J27" i="15"/>
  <c r="J19" i="15"/>
  <c r="J18" i="15"/>
  <c r="J17" i="15"/>
  <c r="C62" i="15"/>
  <c r="B64" i="15"/>
  <c r="B63" i="15"/>
  <c r="B62" i="15"/>
  <c r="D51" i="15"/>
  <c r="C51" i="15" s="1"/>
  <c r="D50" i="15"/>
  <c r="C50" i="15" s="1"/>
  <c r="D49" i="15"/>
  <c r="C49" i="15" s="1"/>
  <c r="D48" i="15"/>
  <c r="C48" i="15" s="1"/>
  <c r="C30" i="15"/>
  <c r="B30" i="15"/>
  <c r="C32" i="15"/>
  <c r="C31" i="15"/>
  <c r="B31" i="15"/>
  <c r="B32" i="15"/>
  <c r="B33" i="15"/>
  <c r="G9" i="15"/>
  <c r="G61" i="15" s="1"/>
  <c r="H61" i="15" s="1"/>
  <c r="E9" i="15"/>
  <c r="B55" i="15" s="1"/>
  <c r="C9" i="15"/>
  <c r="B39" i="15" s="1"/>
  <c r="A55" i="15" l="1"/>
  <c r="J26" i="15"/>
  <c r="C39" i="15"/>
  <c r="C11" i="15" s="1"/>
  <c r="D33" i="15"/>
  <c r="J16" i="15" s="1"/>
  <c r="D32" i="15"/>
  <c r="F64" i="15"/>
  <c r="C55" i="15"/>
  <c r="D30" i="15"/>
  <c r="D31" i="15"/>
  <c r="J64" i="15" l="1"/>
  <c r="G11" i="15" s="1"/>
  <c r="J41" i="15" s="1"/>
</calcChain>
</file>

<file path=xl/sharedStrings.xml><?xml version="1.0" encoding="utf-8"?>
<sst xmlns="http://schemas.openxmlformats.org/spreadsheetml/2006/main" count="1486" uniqueCount="632">
  <si>
    <t>Company Fundamentals - Segments</t>
  </si>
  <si>
    <t>Company Name</t>
  </si>
  <si>
    <t>Lululemon Athletica Inc (LULU.O)</t>
  </si>
  <si>
    <t>Country of Exchange</t>
  </si>
  <si>
    <t>United States of America</t>
  </si>
  <si>
    <t>Country of Headquarters</t>
  </si>
  <si>
    <t>Canada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</si>
  <si>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</si>
  <si>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</si>
  <si>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</si>
  <si>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</si>
  <si>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</si>
  <si>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</si>
  <si>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</si>
  <si>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</si>
  <si>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</si>
  <si>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</si>
  <si>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</si>
  <si>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</si>
  <si>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</si>
  <si>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</si>
  <si>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</si>
  <si>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</si>
  <si>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</si>
  <si>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</si>
  <si>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</si>
  <si>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</si>
  <si>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</si>
  <si>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</si>
  <si>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USD</t>
  </si>
  <si>
    <t>Template Type</t>
  </si>
  <si>
    <t>Industrial</t>
  </si>
  <si>
    <t>Segments - Business Line By Segment (Currency: Standardized)</t>
  </si>
  <si>
    <t>Field Name</t>
  </si>
  <si>
    <t>TRBC</t>
  </si>
  <si>
    <t>02-02-2025</t>
  </si>
  <si>
    <t>28-01-2024</t>
  </si>
  <si>
    <t>29-01-2023</t>
  </si>
  <si>
    <t>30-01-2022</t>
  </si>
  <si>
    <t>31-01-2021</t>
  </si>
  <si>
    <t>02-02-2020</t>
  </si>
  <si>
    <t>03-02-2019</t>
  </si>
  <si>
    <t>Company-operated stores</t>
  </si>
  <si>
    <t>Depreciation &amp; Amortization</t>
  </si>
  <si>
    <t>External Revenue</t>
  </si>
  <si>
    <t>Fixed Assets - Purchased - Cash Flow</t>
  </si>
  <si>
    <t>Operating Income/Loss</t>
  </si>
  <si>
    <t>Direct To Consumers</t>
  </si>
  <si>
    <t>315990, 315250</t>
  </si>
  <si>
    <t>Corporate &amp; Other</t>
  </si>
  <si>
    <t>Amortization of Intangibles excluding Goodwill</t>
  </si>
  <si>
    <t>Americas</t>
  </si>
  <si>
    <t>315990, 315210, 458110</t>
  </si>
  <si>
    <t xml:space="preserve">China Mainland </t>
  </si>
  <si>
    <t xml:space="preserve">Rest of World </t>
  </si>
  <si>
    <t>Other</t>
  </si>
  <si>
    <t>Total</t>
  </si>
  <si>
    <t>Industrial - Gross Profit</t>
  </si>
  <si>
    <t>Segments - Business Line By Statement Item (Currency: Standardized)</t>
  </si>
  <si>
    <t>Segments - Geographic Line By Segment (Currency: Standardized)</t>
  </si>
  <si>
    <t>United States</t>
  </si>
  <si>
    <t>Employees - Full-Time/Full-Time Equivalents - Period End</t>
  </si>
  <si>
    <t>Long-lived Assets</t>
  </si>
  <si>
    <t>Net Income before Tax</t>
  </si>
  <si>
    <t>Property, Plant &amp; Equipment - Net - Total</t>
  </si>
  <si>
    <t>Outside of the North America</t>
  </si>
  <si>
    <t>People's Republic of China</t>
  </si>
  <si>
    <t>Other geographic areas</t>
  </si>
  <si>
    <t xml:space="preserve">Mexico </t>
  </si>
  <si>
    <t>Foreign</t>
  </si>
  <si>
    <t>International Assets</t>
  </si>
  <si>
    <t>International Sales</t>
  </si>
  <si>
    <t>Segments - Geographic Line By Statement Item (Currency: Standardized)</t>
  </si>
  <si>
    <t>Segments - Product Line By Segment (Currency: Standardized)</t>
  </si>
  <si>
    <t>Womens Product-Mens Product</t>
  </si>
  <si>
    <t>Mens Product-Womens Product</t>
  </si>
  <si>
    <t>Other Categories</t>
  </si>
  <si>
    <t>Segments - Product Line By Statement Item (Currency: Standardized)</t>
  </si>
  <si>
    <t>Company Fundamentals - Income Statement</t>
  </si>
  <si>
    <t>Income Statement - Standardized (Currency: Standardized)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</si>
  <si>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</si>
  <si>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</si>
  <si>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</si>
  <si>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</si>
  <si>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</si>
  <si>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</si>
  <si>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</si>
  <si>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</si>
  <si>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</si>
  <si>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</si>
  <si>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</si>
  <si>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</si>
  <si>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Selling, General &amp; Administrative Expenses - Other - Total</t>
  </si>
  <si>
    <t>Advertising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</si>
  <si>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</si>
  <si>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</si>
  <si>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</si>
  <si>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</si>
  <si>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</si>
  <si>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</si>
  <si>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Expense - Net of Capitalized Interest</t>
  </si>
  <si>
    <t>Interest Capitalized</t>
  </si>
  <si>
    <t>Non-Interest Financial Income/(Expense) - Total</t>
  </si>
  <si>
    <t>Non-Interest Financial Income/(Expense) - Other - Net</t>
  </si>
  <si>
    <t>Sale of Tangible &amp; Intangible Fixed Assets - Gain/(Loss)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</si>
  <si>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</si>
  <si>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</si>
  <si>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</si>
  <si>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</si>
  <si>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</si>
  <si>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</si>
  <si>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</si>
  <si>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Restructuring Charges</t>
  </si>
  <si>
    <t>Unrealized Adjustments on Derivatives for Hedging</t>
  </si>
  <si>
    <t>Sale &amp; Acquisition of Group Companies - Gain/(Loss)</t>
  </si>
  <si>
    <t>Pre-Tax Income</t>
  </si>
  <si>
    <t>Income before Taxes</t>
  </si>
  <si>
    <t>Taxes</t>
  </si>
  <si>
    <t>Income Taxes</t>
  </si>
  <si>
    <t>Income Taxes for the Year - Current</t>
  </si>
  <si>
    <t>Income Taxes - Domestic - Current</t>
  </si>
  <si>
    <t>Income Taxes - Foreign - Current</t>
  </si>
  <si>
    <t>Income Taxes - Deferred</t>
  </si>
  <si>
    <t>Income Taxes - Domestic - Deferred</t>
  </si>
  <si>
    <t>Income Taxes - Foreign - Deferred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</si>
  <si>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</si>
  <si>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</si>
  <si>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</si>
  <si>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</si>
  <si>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</si>
  <si>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</si>
  <si>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</si>
  <si>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</si>
  <si>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</si>
  <si>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</si>
  <si>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</si>
  <si>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</si>
  <si>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</si>
  <si>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</si>
  <si>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</si>
  <si>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</si>
  <si>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</si>
  <si>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</si>
  <si>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</si>
  <si>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</si>
  <si>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</si>
  <si>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</si>
  <si>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</si>
  <si>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</si>
  <si>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EPS - Basic from Discontinued Operations &amp; Extraordinary Items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</si>
  <si>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</si>
  <si>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</si>
  <si>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</si>
  <si>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</si>
  <si>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</si>
  <si>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</si>
  <si>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</si>
  <si>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EPS - Diluted from Discontinued Operations &amp; Extraordinary Items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</si>
  <si>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</si>
  <si>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</si>
  <si>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</si>
  <si>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</si>
  <si>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</si>
  <si>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</si>
  <si>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</si>
  <si>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</si>
  <si>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</si>
  <si>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</si>
  <si>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</si>
  <si>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</si>
  <si>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</si>
  <si>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</si>
  <si>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</si>
  <si>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</si>
  <si>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</si>
  <si>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</si>
  <si>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</si>
  <si>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</si>
  <si>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</si>
  <si>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</si>
  <si>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</si>
  <si>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</si>
  <si>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</si>
  <si>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</si>
  <si>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Revenues - Company Reported</t>
  </si>
  <si>
    <t>Non-GAAP Income from Operations - Company Reported</t>
  </si>
  <si>
    <t>Non-GAAP EPS Diluted - Company Reported</t>
  </si>
  <si>
    <t>Non-GAAP Operating Margin % - Company Reported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</si>
  <si>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</si>
  <si>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</si>
  <si>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</si>
  <si>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</si>
  <si>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</si>
  <si>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</si>
  <si>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</si>
  <si>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</si>
  <si>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</si>
  <si>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</si>
  <si>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</si>
  <si>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</si>
  <si>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Operating /Rental Expense - Supplemental</t>
  </si>
  <si>
    <t>Variable Operating Lease Expenses - US GAAP - Supplemental</t>
  </si>
  <si>
    <t>Short-Term Lease Cost - Supplemental</t>
  </si>
  <si>
    <t>Sublease Income - Supplemental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</si>
  <si>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</si>
  <si>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</si>
  <si>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</si>
  <si>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</si>
  <si>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</si>
  <si>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</si>
  <si>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</si>
  <si>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Industrial - Differentiated</t>
  </si>
  <si>
    <t>Balance Sheet - Standardized (Currency: Standardized)</t>
  </si>
  <si>
    <t>Current Assets</t>
  </si>
  <si>
    <t>Cash &amp; Short-Term Investments</t>
  </si>
  <si>
    <t>Cash &amp; Cash Equivalents</t>
  </si>
  <si>
    <t>Derivative Financial Instruments - Hedging - Short-Term</t>
  </si>
  <si>
    <t>Loans &amp; Receivables - Net - Short-Term</t>
  </si>
  <si>
    <t>Trade Accounts &amp; Trade Notes Receivable - Net</t>
  </si>
  <si>
    <t>Receivables - Other - Total</t>
  </si>
  <si>
    <t>Inventories - Total</t>
  </si>
  <si>
    <t>Inventories - Finished Goods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</si>
  <si>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</si>
  <si>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</si>
  <si>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</si>
  <si>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</si>
  <si>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</si>
  <si>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</si>
  <si>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Property, Plant &amp; Equipment - excluding Assets Leased Out - Net - Total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</si>
  <si>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</si>
  <si>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</si>
  <si>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</si>
  <si>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</si>
  <si>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</si>
  <si>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Leasehold Improvements - Gross</t>
  </si>
  <si>
    <t>Plant, Machinery &amp; Equipment - Gross</t>
  </si>
  <si>
    <t>Computer Software &amp; Equipment - Gross</t>
  </si>
  <si>
    <t>Construction in Progress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</si>
  <si>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</si>
  <si>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</si>
  <si>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</si>
  <si>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</si>
  <si>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</si>
  <si>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</si>
  <si>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</si>
  <si>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</si>
  <si>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</si>
  <si>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</si>
  <si>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</si>
  <si>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</si>
  <si>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</si>
  <si>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</si>
  <si>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</si>
  <si>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</si>
  <si>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</si>
  <si>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</si>
  <si>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</si>
  <si>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</si>
  <si>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</si>
  <si>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</si>
  <si>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Derivative Liabilities - Hedging - Short-Term</t>
  </si>
  <si>
    <t>Income Taxes - Payable - Short-Term</t>
  </si>
  <si>
    <t>Operating Lease Liabilities - Current Portion/Short-Term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</si>
  <si>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</si>
  <si>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</si>
  <si>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</si>
  <si>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</si>
  <si>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</si>
  <si>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</si>
  <si>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</si>
  <si>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</si>
  <si>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</si>
  <si>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</si>
  <si>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</si>
  <si>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</si>
  <si>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</si>
  <si>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</si>
  <si>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</si>
  <si>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</si>
  <si>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</si>
  <si>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</si>
  <si>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</si>
  <si>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</si>
  <si>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</si>
  <si>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</si>
  <si>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</si>
  <si>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</si>
  <si>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</si>
  <si>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</si>
  <si>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</si>
  <si>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</si>
  <si>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</si>
  <si>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</si>
  <si>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</si>
  <si>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</si>
  <si>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</si>
  <si>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</si>
  <si>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</si>
  <si>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</si>
  <si>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</si>
  <si>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</si>
  <si>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</si>
  <si>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</si>
  <si>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</si>
  <si>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</si>
  <si>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</si>
  <si>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</si>
  <si>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</si>
  <si>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</si>
  <si>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</si>
  <si>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</si>
  <si>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</si>
  <si>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</si>
  <si>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</si>
  <si>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</si>
  <si>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Loans &amp; Receivables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</si>
  <si>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</si>
  <si>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</si>
  <si>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</si>
  <si>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</si>
  <si>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</si>
  <si>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</si>
  <si>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</si>
  <si>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</si>
  <si>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</si>
  <si>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Outstanding - Supplemental</t>
  </si>
  <si>
    <t>Revolving Line of Credit - Unutilized/Unused Amount</t>
  </si>
  <si>
    <t>Revolving Line of Credit - Total Principal Amount</t>
  </si>
  <si>
    <t>Weighted Average Leases</t>
  </si>
  <si>
    <t>Wgt Avg Remaining Lease Term (Years)-Operating Lease-US GAAP</t>
  </si>
  <si>
    <t>Weighted Average Discount Rate - Operating Lease - US GAAP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</si>
  <si>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</si>
  <si>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</si>
  <si>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</si>
  <si>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</si>
  <si>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</si>
  <si>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</si>
  <si>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</si>
  <si>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</si>
  <si>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</si>
  <si>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</si>
  <si>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</si>
  <si>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</si>
  <si>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</si>
  <si>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</si>
  <si>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</si>
  <si>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</si>
  <si>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</si>
  <si>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</si>
  <si>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</si>
  <si>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</si>
  <si>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</si>
  <si>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</si>
  <si>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</si>
  <si>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</si>
  <si>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</si>
  <si>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</si>
  <si>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</si>
  <si>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</si>
  <si>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</si>
  <si>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</si>
  <si>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</si>
  <si>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</si>
  <si>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</si>
  <si>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</si>
  <si>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</si>
  <si>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Current Date</t>
  </si>
  <si>
    <t>Company Fundamentals - Cash Flow</t>
  </si>
  <si>
    <t>Industrial - Indirect</t>
  </si>
  <si>
    <t>Cash Flow - Standardized (Currency: Standardized)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</si>
  <si>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</si>
  <si>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</si>
  <si>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</si>
  <si>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</si>
  <si>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</si>
  <si>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</si>
  <si>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</si>
  <si>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Deferred Income Taxes &amp; Income Tax Credits - Cash Flow - to Reconcile</t>
  </si>
  <si>
    <t>Assets Sale - Gain/(Loss) - Cash Flow - to Reconcile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</si>
  <si>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</si>
  <si>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</si>
  <si>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</si>
  <si>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</si>
  <si>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</si>
  <si>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</si>
  <si>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Prepaid Expenses - Decrease/(Increase) - Cash Flow</t>
  </si>
  <si>
    <t>Other Assets - Decrease/(Increase) - Cash Flow</t>
  </si>
  <si>
    <t>Accounts Payable - Increase/(Decrease) - Cash Flow</t>
  </si>
  <si>
    <t>Accrued Expenses - Increase/(Decrease)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</si>
  <si>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</si>
  <si>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</si>
  <si>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</si>
  <si>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</si>
  <si>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</si>
  <si>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</si>
  <si>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</si>
  <si>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</si>
  <si>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Capital Expenditures - Total</t>
  </si>
  <si>
    <t>Acquisition &amp; Disposals of Business - Assets - Sold/(Acquired) - Net - Cash Flow</t>
  </si>
  <si>
    <t>Acquisition of Business - Cash Flow</t>
  </si>
  <si>
    <t>Derivative Financial Instruments - Hedging - Sold/(Purchased) -Total - Cash Flow</t>
  </si>
  <si>
    <t>Other Investing Cash Flow - Decrease/(Increase)</t>
  </si>
  <si>
    <t>Net Cash Flow from Investing Activities</t>
  </si>
  <si>
    <t>Financing Cash Flow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</si>
  <si>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</si>
  <si>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</si>
  <si>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</si>
  <si>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</si>
  <si>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</si>
  <si>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</si>
  <si>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</si>
  <si>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</si>
  <si>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</si>
  <si>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</si>
  <si>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</si>
  <si>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</si>
  <si>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</si>
  <si>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</si>
  <si>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</si>
  <si>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</si>
  <si>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CF from Optg Activities before Change in WC &amp; Int Payments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</si>
  <si>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</si>
  <si>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</si>
  <si>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</si>
  <si>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</si>
  <si>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</si>
  <si>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</si>
  <si>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Pension</t>
  </si>
  <si>
    <t>Pension - Standardized (Currency: Standardized)</t>
  </si>
  <si>
    <t>Income/Expense</t>
  </si>
  <si>
    <t>Total Pension Plans - Total Pension &amp; Post-Retirement</t>
  </si>
  <si>
    <t>Total Pension Plan Expense - Total</t>
  </si>
  <si>
    <t>Total Pension Plans - Domestic</t>
  </si>
  <si>
    <t>Defined Contribution Expense - Total Pension &amp; Post-Retirement</t>
  </si>
  <si>
    <t>Defined Contribution Expense - Total Pension</t>
  </si>
  <si>
    <t>Defined Contribution Expense - Domestic</t>
  </si>
  <si>
    <t>Company Fundamentals - Financial Summary</t>
  </si>
  <si>
    <t>Financial Summary - Standardized (Currency: Standardized)</t>
  </si>
  <si>
    <t>Selected Income Statement Items</t>
  </si>
  <si>
    <t>Selected Balance Sheet Items</t>
  </si>
  <si>
    <t>Selected Cash Flow Items</t>
  </si>
  <si>
    <t>Selected Per Share Data</t>
  </si>
  <si>
    <t>Dividend Yield - Common Stock - Gross - Issue Specific - %</t>
  </si>
  <si>
    <t>Dividend Yield - Common Stock - Net - Issue Specific - %</t>
  </si>
  <si>
    <t>Company Reported Non-GAAP Measures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</si>
  <si>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</si>
  <si>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</si>
  <si>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</si>
  <si>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</si>
  <si>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</si>
  <si>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</si>
  <si>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</si>
  <si>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Return on Average Common Equity - % (Income available to Common excluding Extraordinary Items)</t>
  </si>
  <si>
    <t>Return on Average Total Assets - % (Income before Discontinued Operations &amp; Extraordinary Items)</t>
  </si>
  <si>
    <t>Return on Invested Capital - %</t>
  </si>
  <si>
    <t>Growth</t>
  </si>
  <si>
    <t>Financial Strength / Leverage</t>
  </si>
  <si>
    <t>Total Debt Percentage of Total Assets</t>
  </si>
  <si>
    <t>Total Debt Percentage of Total Capital</t>
  </si>
  <si>
    <t>Total Debt Percentage of Total Equity</t>
  </si>
  <si>
    <t>Debt Service</t>
  </si>
  <si>
    <t>Debt Service Percentage of Normalized after Tax Profit</t>
  </si>
  <si>
    <t>Earnings Retention Rate</t>
  </si>
  <si>
    <t>Dividend Payout Ratio - %</t>
  </si>
  <si>
    <t>Enterprise Value Breakdown</t>
  </si>
  <si>
    <t>Market Capitalization</t>
  </si>
  <si>
    <t>Enterprise Value</t>
  </si>
  <si>
    <t>Dupont / Earning Power</t>
  </si>
  <si>
    <t>Asset Turnover</t>
  </si>
  <si>
    <t>Pretax ROA - %</t>
  </si>
  <si>
    <t>Total Assets to Total Shareholders Equity - including Minority Interest &amp; Hybrid Debt</t>
  </si>
  <si>
    <t>Pretax ROE - %</t>
  </si>
  <si>
    <t>Tax Complement</t>
  </si>
  <si>
    <t>Reinvestment Rate - %</t>
  </si>
  <si>
    <t>Productivity</t>
  </si>
  <si>
    <t>Net Income after Tax per Employee</t>
  </si>
  <si>
    <t>Sales per Employee</t>
  </si>
  <si>
    <t>Total Assets per Employee</t>
  </si>
  <si>
    <t>Liquidity</t>
  </si>
  <si>
    <t>Current Ratio</t>
  </si>
  <si>
    <t>Quick Ratio</t>
  </si>
  <si>
    <t>Working Capital to Total Assets</t>
  </si>
  <si>
    <t>Operating</t>
  </si>
  <si>
    <t>Accounts Receivable Turnover</t>
  </si>
  <si>
    <t>Average Receivables Collection Days</t>
  </si>
  <si>
    <t>Payables Turnover</t>
  </si>
  <si>
    <t>Average Payables Payment Days</t>
  </si>
  <si>
    <t>Inventory Turnover</t>
  </si>
  <si>
    <t>Average Inventory Days</t>
  </si>
  <si>
    <t>Average Net Trade Cycle Days</t>
  </si>
  <si>
    <t>Company Fundamentals - Valuation</t>
  </si>
  <si>
    <t>Valuation - Standardized (Currency: Standardized)</t>
  </si>
  <si>
    <t>Enterprise Value, 5 Year Average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</si>
  <si>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</si>
  <si>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</si>
  <si>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</si>
  <si>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</si>
  <si>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</si>
  <si>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</si>
  <si>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</si>
  <si>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</si>
  <si>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</si>
  <si>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</si>
  <si>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</si>
  <si>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</si>
  <si>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</si>
  <si>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</si>
  <si>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</si>
  <si>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</si>
  <si>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</si>
  <si>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</si>
  <si>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</si>
  <si>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</si>
  <si>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</si>
  <si>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</si>
  <si>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</si>
  <si>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</si>
  <si>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</si>
  <si>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</si>
  <si>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</si>
  <si>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</si>
  <si>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</si>
  <si>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</si>
  <si>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</si>
  <si>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</si>
  <si>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</si>
  <si>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</si>
  <si>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</si>
  <si>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</si>
  <si>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</si>
  <si>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</si>
  <si>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</si>
  <si>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</si>
  <si>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</si>
  <si>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</si>
  <si>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</si>
  <si>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</si>
  <si>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</si>
  <si>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</si>
  <si>
    <t>Company Fundamentals - Operating Metrics</t>
  </si>
  <si>
    <t>Measure system</t>
  </si>
  <si>
    <t>Metric</t>
  </si>
  <si>
    <t>Operating Metrics - Standardized (Currency: Standardized)</t>
  </si>
  <si>
    <t>Other Retail Measures</t>
  </si>
  <si>
    <t>Sales per Unit - Average - Total</t>
  </si>
  <si>
    <t>Comparable Store Sales (Growth %)</t>
  </si>
  <si>
    <t>Comparable Store Sales Growth Rate - Retail - Total - %</t>
  </si>
  <si>
    <t>Comparable Store Sales - Total - Retail</t>
  </si>
  <si>
    <t>Merchandise Margins - Total - %</t>
  </si>
  <si>
    <t>Stores Number</t>
  </si>
  <si>
    <t>Stores Closed - Number - Total</t>
  </si>
  <si>
    <t>Stores Opened - Number - Total</t>
  </si>
  <si>
    <t>Stores - End of Period - Number - Total</t>
  </si>
  <si>
    <t>Online Sales - Total</t>
  </si>
  <si>
    <t>Retail Sales - Total</t>
  </si>
  <si>
    <t>Selling Space</t>
  </si>
  <si>
    <t>Selling Space - Gross - Total</t>
  </si>
  <si>
    <t>EBITDA</t>
  </si>
  <si>
    <t xml:space="preserve">Firm Valuation </t>
  </si>
  <si>
    <t> </t>
  </si>
  <si>
    <t>Latest P/E ratio</t>
  </si>
  <si>
    <t>Latest enterprice Value/EBITDA</t>
  </si>
  <si>
    <t>+</t>
  </si>
  <si>
    <t>Lululemon</t>
  </si>
  <si>
    <t>Competitors Average</t>
  </si>
  <si>
    <t>Expected Stock Price</t>
  </si>
  <si>
    <t xml:space="preserve">P/E Multiple = </t>
  </si>
  <si>
    <t>P/B Multiple=</t>
  </si>
  <si>
    <t>EBITDA Multiple=</t>
  </si>
  <si>
    <t>ADIDAS</t>
  </si>
  <si>
    <t>NIKE</t>
  </si>
  <si>
    <t>Sites Used</t>
  </si>
  <si>
    <t>https://stockanalysis.com/quote/etr/ADS/statistics/</t>
  </si>
  <si>
    <t>https://stockanalysis.com/stocks/nke/statistics/</t>
  </si>
  <si>
    <t xml:space="preserve"> </t>
  </si>
  <si>
    <t>https://stockanalysis.com/quote/tyo/7936/statistics/</t>
  </si>
  <si>
    <t>ASICS</t>
  </si>
  <si>
    <t>Year</t>
  </si>
  <si>
    <t>Price</t>
  </si>
  <si>
    <t>Earnings per Share</t>
  </si>
  <si>
    <t>P/E Ratio</t>
  </si>
  <si>
    <t>PE multiple</t>
  </si>
  <si>
    <t>Current EPS</t>
  </si>
  <si>
    <t>Industry Average</t>
  </si>
  <si>
    <t xml:space="preserve">Estimated Stock Price </t>
  </si>
  <si>
    <t>Price to Earnings Ratio (Lululemon)</t>
  </si>
  <si>
    <t>2025 / Current</t>
  </si>
  <si>
    <t>Market Price per Share (USD)</t>
  </si>
  <si>
    <t>Book Value per Share (USD)</t>
  </si>
  <si>
    <t>P/B Ratio</t>
  </si>
  <si>
    <t>P/B Multiple</t>
  </si>
  <si>
    <t xml:space="preserve">Average P/B </t>
  </si>
  <si>
    <t>Price to Book Ratio (Lululemon)</t>
  </si>
  <si>
    <t>Book Value/ Share =  Price / P/B</t>
  </si>
  <si>
    <t>EBITDA Multiples</t>
  </si>
  <si>
    <t>V0</t>
  </si>
  <si>
    <t xml:space="preserve">Adjusted EBITDA/($ in millions) </t>
  </si>
  <si>
    <t>Adjusted EBITDA margin</t>
  </si>
  <si>
    <t xml:space="preserve">Stock Price estimation </t>
  </si>
  <si>
    <t>Cash</t>
  </si>
  <si>
    <t>Debt</t>
  </si>
  <si>
    <t xml:space="preserve">#Shares </t>
  </si>
  <si>
    <t>current</t>
  </si>
  <si>
    <t>Lululemon EBITDA</t>
  </si>
  <si>
    <t xml:space="preserve">Company </t>
  </si>
  <si>
    <t>Current P/E ratio</t>
  </si>
  <si>
    <t>SUMMARY</t>
  </si>
  <si>
    <t>Current P/B ratio</t>
  </si>
  <si>
    <t>Method used</t>
  </si>
  <si>
    <t>P/E multiple</t>
  </si>
  <si>
    <t>P/B multiple</t>
  </si>
  <si>
    <t>EBITDA multiple</t>
  </si>
  <si>
    <t>↑</t>
  </si>
  <si>
    <t>=B49/D49'</t>
  </si>
  <si>
    <t>=A53*B53'</t>
  </si>
  <si>
    <t>⟵</t>
  </si>
  <si>
    <t>=Valuation!B37'</t>
  </si>
  <si>
    <t>=B33/C33'</t>
  </si>
  <si>
    <t>='Financial Summary'!B61'</t>
  </si>
  <si>
    <t xml:space="preserve"> '=B63' ⟶</t>
  </si>
  <si>
    <t>=F59 * G59'</t>
  </si>
  <si>
    <t>='Financial Summary'!B26'</t>
  </si>
  <si>
    <t>='Financial Summary'!B29'</t>
  </si>
  <si>
    <t>='Financial Summary'!B64'</t>
  </si>
  <si>
    <t>=(F62-H62+G62)/I62'</t>
  </si>
  <si>
    <t>=A37 * B37'</t>
  </si>
  <si>
    <t>for context only</t>
  </si>
  <si>
    <t>NOTE:</t>
  </si>
  <si>
    <t>ADDITIONAL:  Latest P/B Ratio</t>
  </si>
  <si>
    <t>Even though the companies report in different currencies, we didn’t need to convert anything because P/E, P/B, and EV/EBITDA are ratio-based. These multiples are naturally currency-neutral</t>
  </si>
  <si>
    <t>='Financial Summary'!B63'</t>
  </si>
  <si>
    <t>=Valuation!B26'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</si>
</sst>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dd\-mm\-yyyy"/>
    <numFmt numFmtId="165" formatCode="#,##0.0"/>
    <numFmt numFmtId="166" formatCode="[&gt;=100]##,##0.0\%;[&lt;=-100]\-##,##0.0\%;##,##0.0\%"/>
    <numFmt numFmtId="167" formatCode="0.0"/>
    <numFmt numFmtId="168" formatCode="0.0%"/>
  </numFmts>
  <fonts count="29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32A31"/>
      <name val="GT America"/>
      <charset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 applyNumberFormat="0" applyBorder="0" applyAlignment="0"/>
    <xf numFmtId="9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3" fillId="6" borderId="0" applyNumberFormat="0" applyBorder="0" applyAlignment="0" applyProtection="0"/>
  </cellStyleXfs>
  <cellXfs count="149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left"/>
    </xf>
    <xf numFmtId="0" fontId="4" fillId="2" borderId="2" xfId="0" applyFont="1" applyFill="1" applyBorder="1"/>
    <xf numFmtId="0" fontId="5" fillId="0" borderId="3" xfId="0" applyFont="1" applyBorder="1" applyAlignment="1">
      <alignment horizontal="left" vertical="center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vertical="center" wrapText="1"/>
    </xf>
    <xf numFmtId="3" fontId="7" fillId="3" borderId="3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7" fillId="3" borderId="3" xfId="0" applyNumberFormat="1" applyFont="1" applyFill="1" applyBorder="1" applyAlignment="1">
      <alignment horizontal="right" vertical="center" wrapText="1"/>
    </xf>
    <xf numFmtId="4" fontId="7" fillId="3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9" fillId="0" borderId="3" xfId="0" applyFont="1" applyBorder="1" applyAlignment="1">
      <alignment vertical="center" wrapText="1"/>
    </xf>
    <xf numFmtId="3" fontId="10" fillId="0" borderId="3" xfId="0" applyNumberFormat="1" applyFont="1" applyBorder="1" applyAlignment="1">
      <alignment horizontal="right" vertical="center" wrapText="1"/>
    </xf>
    <xf numFmtId="165" fontId="10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horizontal="left" vertical="center" wrapText="1" indent="6"/>
    </xf>
    <xf numFmtId="166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 indent="8"/>
    </xf>
    <xf numFmtId="3" fontId="8" fillId="0" borderId="3" xfId="0" applyNumberFormat="1" applyFont="1" applyBorder="1" applyAlignment="1">
      <alignment horizontal="right" vertical="center" wrapText="1"/>
    </xf>
    <xf numFmtId="165" fontId="11" fillId="0" borderId="3" xfId="0" applyNumberFormat="1" applyFont="1" applyBorder="1" applyAlignment="1">
      <alignment horizontal="right" vertical="center" wrapText="1"/>
    </xf>
    <xf numFmtId="4" fontId="11" fillId="0" borderId="3" xfId="0" applyNumberFormat="1" applyFont="1" applyBorder="1" applyAlignment="1">
      <alignment horizontal="right" vertical="center" wrapText="1"/>
    </xf>
    <xf numFmtId="4" fontId="10" fillId="0" borderId="3" xfId="0" applyNumberFormat="1" applyFont="1" applyBorder="1" applyAlignment="1">
      <alignment horizontal="right" vertical="center" wrapText="1"/>
    </xf>
    <xf numFmtId="0" fontId="19" fillId="0" borderId="13" xfId="5" applyFont="1" applyBorder="1" applyAlignment="1">
      <alignment horizontal="center"/>
    </xf>
    <xf numFmtId="0" fontId="22" fillId="0" borderId="13" xfId="5" applyFont="1" applyBorder="1" applyAlignment="1">
      <alignment horizontal="center"/>
    </xf>
    <xf numFmtId="0" fontId="17" fillId="4" borderId="14" xfId="2" applyFont="1" applyBorder="1" applyAlignment="1">
      <alignment horizontal="center"/>
    </xf>
    <xf numFmtId="167" fontId="17" fillId="4" borderId="14" xfId="2" applyNumberFormat="1" applyFont="1" applyBorder="1" applyAlignment="1">
      <alignment horizontal="center"/>
    </xf>
    <xf numFmtId="0" fontId="17" fillId="5" borderId="14" xfId="3" applyFont="1" applyBorder="1" applyAlignment="1">
      <alignment horizontal="center"/>
    </xf>
    <xf numFmtId="0" fontId="2" fillId="7" borderId="14" xfId="4" applyFill="1" applyBorder="1" applyAlignment="1">
      <alignment horizontal="center"/>
    </xf>
    <xf numFmtId="4" fontId="17" fillId="5" borderId="14" xfId="3" applyNumberFormat="1" applyFont="1" applyBorder="1" applyAlignment="1">
      <alignment horizontal="center"/>
    </xf>
    <xf numFmtId="2" fontId="2" fillId="7" borderId="14" xfId="4" applyNumberFormat="1" applyFill="1" applyBorder="1" applyAlignment="1">
      <alignment horizontal="center"/>
    </xf>
    <xf numFmtId="0" fontId="16" fillId="0" borderId="4" xfId="5" applyFont="1" applyBorder="1" applyAlignment="1">
      <alignment horizontal="center"/>
    </xf>
    <xf numFmtId="0" fontId="16" fillId="0" borderId="4" xfId="5" applyFont="1" applyBorder="1" applyAlignment="1">
      <alignment horizontal="center" wrapText="1"/>
    </xf>
    <xf numFmtId="0" fontId="27" fillId="5" borderId="4" xfId="9" applyFont="1" applyBorder="1" applyAlignment="1">
      <alignment horizontal="center"/>
    </xf>
    <xf numFmtId="0" fontId="18" fillId="0" borderId="0" xfId="5" applyFont="1" applyAlignment="1">
      <alignment horizontal="center"/>
    </xf>
    <xf numFmtId="0" fontId="26" fillId="5" borderId="9" xfId="9" applyFont="1" applyBorder="1" applyAlignment="1">
      <alignment horizontal="center"/>
    </xf>
    <xf numFmtId="0" fontId="27" fillId="5" borderId="8" xfId="9" applyFont="1" applyBorder="1" applyAlignment="1">
      <alignment horizontal="center" wrapText="1"/>
    </xf>
    <xf numFmtId="0" fontId="27" fillId="5" borderId="9" xfId="9" applyFont="1" applyBorder="1" applyAlignment="1">
      <alignment horizontal="center"/>
    </xf>
    <xf numFmtId="0" fontId="27" fillId="5" borderId="9" xfId="9" applyFont="1" applyBorder="1" applyAlignment="1">
      <alignment horizontal="center" wrapText="1"/>
    </xf>
    <xf numFmtId="4" fontId="17" fillId="4" borderId="14" xfId="2" applyNumberFormat="1" applyFont="1" applyBorder="1" applyAlignment="1">
      <alignment horizontal="center"/>
    </xf>
    <xf numFmtId="0" fontId="19" fillId="0" borderId="0" xfId="5" applyFont="1" applyAlignment="1">
      <alignment horizontal="center"/>
    </xf>
    <xf numFmtId="4" fontId="26" fillId="5" borderId="9" xfId="9" applyNumberFormat="1" applyFont="1" applyBorder="1" applyAlignment="1">
      <alignment horizontal="center"/>
    </xf>
    <xf numFmtId="2" fontId="26" fillId="5" borderId="9" xfId="9" applyNumberFormat="1" applyFont="1" applyBorder="1" applyAlignment="1">
      <alignment horizontal="center"/>
    </xf>
    <xf numFmtId="4" fontId="17" fillId="5" borderId="9" xfId="9" applyNumberFormat="1" applyFont="1" applyBorder="1" applyAlignment="1">
      <alignment horizontal="center" wrapText="1"/>
    </xf>
    <xf numFmtId="0" fontId="17" fillId="5" borderId="9" xfId="9" applyFont="1" applyBorder="1" applyAlignment="1">
      <alignment horizontal="center"/>
    </xf>
    <xf numFmtId="2" fontId="17" fillId="5" borderId="9" xfId="9" applyNumberFormat="1" applyFont="1" applyBorder="1" applyAlignment="1">
      <alignment horizontal="center" wrapText="1"/>
    </xf>
    <xf numFmtId="2" fontId="21" fillId="5" borderId="9" xfId="9" applyNumberFormat="1" applyFont="1" applyBorder="1" applyAlignment="1">
      <alignment horizontal="center"/>
    </xf>
    <xf numFmtId="4" fontId="26" fillId="5" borderId="4" xfId="9" applyNumberFormat="1" applyFont="1" applyBorder="1" applyAlignment="1">
      <alignment horizontal="center"/>
    </xf>
    <xf numFmtId="0" fontId="21" fillId="5" borderId="4" xfId="9" applyFont="1" applyBorder="1" applyAlignment="1">
      <alignment horizontal="center"/>
    </xf>
    <xf numFmtId="0" fontId="21" fillId="5" borderId="8" xfId="9" applyFont="1" applyBorder="1" applyAlignment="1">
      <alignment horizontal="center" wrapText="1"/>
    </xf>
    <xf numFmtId="0" fontId="27" fillId="7" borderId="4" xfId="10" applyFont="1" applyFill="1" applyBorder="1" applyAlignment="1">
      <alignment horizontal="center" wrapText="1"/>
    </xf>
    <xf numFmtId="4" fontId="27" fillId="7" borderId="4" xfId="10" applyNumberFormat="1" applyFont="1" applyFill="1" applyBorder="1" applyAlignment="1">
      <alignment horizontal="center"/>
    </xf>
    <xf numFmtId="4" fontId="26" fillId="7" borderId="4" xfId="10" applyNumberFormat="1" applyFont="1" applyFill="1" applyBorder="1" applyAlignment="1">
      <alignment horizontal="center"/>
    </xf>
    <xf numFmtId="0" fontId="26" fillId="8" borderId="4" xfId="10" applyFont="1" applyFill="1" applyBorder="1"/>
    <xf numFmtId="0" fontId="26" fillId="8" borderId="4" xfId="10" applyFont="1" applyFill="1" applyBorder="1" applyAlignment="1">
      <alignment horizontal="center" wrapText="1"/>
    </xf>
    <xf numFmtId="0" fontId="18" fillId="0" borderId="15" xfId="5" applyFont="1" applyBorder="1" applyAlignment="1">
      <alignment horizontal="center"/>
    </xf>
    <xf numFmtId="0" fontId="18" fillId="0" borderId="16" xfId="5" applyFont="1" applyBorder="1" applyAlignment="1">
      <alignment horizontal="center"/>
    </xf>
    <xf numFmtId="0" fontId="26" fillId="7" borderId="4" xfId="10" applyFont="1" applyFill="1" applyBorder="1" applyAlignment="1">
      <alignment horizontal="center"/>
    </xf>
    <xf numFmtId="0" fontId="26" fillId="7" borderId="4" xfId="10" quotePrefix="1" applyFont="1" applyFill="1" applyBorder="1" applyAlignment="1">
      <alignment horizontal="center"/>
    </xf>
    <xf numFmtId="2" fontId="26" fillId="7" borderId="4" xfId="10" applyNumberFormat="1" applyFont="1" applyFill="1" applyBorder="1" applyAlignment="1">
      <alignment horizontal="center"/>
    </xf>
    <xf numFmtId="0" fontId="21" fillId="4" borderId="6" xfId="2" applyFont="1" applyBorder="1" applyAlignment="1">
      <alignment horizontal="center"/>
    </xf>
    <xf numFmtId="4" fontId="17" fillId="4" borderId="8" xfId="2" applyNumberFormat="1" applyFont="1" applyBorder="1" applyAlignment="1">
      <alignment horizontal="center"/>
    </xf>
    <xf numFmtId="0" fontId="17" fillId="4" borderId="9" xfId="2" applyFont="1" applyBorder="1" applyAlignment="1">
      <alignment horizontal="center"/>
    </xf>
    <xf numFmtId="4" fontId="17" fillId="4" borderId="9" xfId="2" applyNumberFormat="1" applyFont="1" applyBorder="1" applyAlignment="1">
      <alignment horizontal="center"/>
    </xf>
    <xf numFmtId="0" fontId="17" fillId="4" borderId="8" xfId="2" applyFont="1" applyBorder="1" applyAlignment="1">
      <alignment horizontal="center"/>
    </xf>
    <xf numFmtId="4" fontId="17" fillId="4" borderId="9" xfId="2" applyNumberFormat="1" applyFont="1" applyBorder="1" applyAlignment="1">
      <alignment horizontal="center" wrapText="1"/>
    </xf>
    <xf numFmtId="0" fontId="17" fillId="0" borderId="0" xfId="5" applyFont="1"/>
    <xf numFmtId="167" fontId="17" fillId="4" borderId="9" xfId="2" applyNumberFormat="1" applyFont="1" applyBorder="1" applyAlignment="1">
      <alignment horizontal="center"/>
    </xf>
    <xf numFmtId="0" fontId="21" fillId="4" borderId="13" xfId="2" applyFont="1" applyBorder="1" applyAlignment="1">
      <alignment horizontal="center"/>
    </xf>
    <xf numFmtId="0" fontId="21" fillId="4" borderId="14" xfId="2" applyFont="1" applyBorder="1" applyAlignment="1">
      <alignment horizontal="center"/>
    </xf>
    <xf numFmtId="0" fontId="21" fillId="4" borderId="4" xfId="2" applyFont="1" applyBorder="1" applyAlignment="1">
      <alignment horizontal="center"/>
    </xf>
    <xf numFmtId="0" fontId="21" fillId="4" borderId="6" xfId="2" applyFont="1" applyBorder="1" applyAlignment="1">
      <alignment horizontal="center" wrapText="1"/>
    </xf>
    <xf numFmtId="2" fontId="17" fillId="4" borderId="9" xfId="2" applyNumberFormat="1" applyFont="1" applyBorder="1" applyAlignment="1">
      <alignment horizontal="center"/>
    </xf>
    <xf numFmtId="168" fontId="17" fillId="4" borderId="14" xfId="2" applyNumberFormat="1" applyFont="1" applyBorder="1" applyAlignment="1">
      <alignment horizontal="center"/>
    </xf>
    <xf numFmtId="168" fontId="17" fillId="4" borderId="14" xfId="1" applyNumberFormat="1" applyFont="1" applyFill="1" applyBorder="1" applyAlignment="1">
      <alignment horizontal="center"/>
    </xf>
    <xf numFmtId="168" fontId="17" fillId="4" borderId="14" xfId="1" quotePrefix="1" applyNumberFormat="1" applyFont="1" applyFill="1" applyBorder="1" applyAlignment="1">
      <alignment horizontal="center"/>
    </xf>
    <xf numFmtId="165" fontId="17" fillId="4" borderId="9" xfId="2" applyNumberFormat="1" applyFont="1" applyBorder="1" applyAlignment="1">
      <alignment horizontal="center"/>
    </xf>
    <xf numFmtId="2" fontId="17" fillId="4" borderId="14" xfId="2" applyNumberFormat="1" applyFont="1" applyBorder="1" applyAlignment="1">
      <alignment horizontal="center"/>
    </xf>
    <xf numFmtId="0" fontId="19" fillId="0" borderId="4" xfId="5" applyFont="1" applyBorder="1" applyAlignment="1">
      <alignment horizontal="center"/>
    </xf>
    <xf numFmtId="0" fontId="19" fillId="0" borderId="4" xfId="5" applyFont="1" applyBorder="1"/>
    <xf numFmtId="2" fontId="18" fillId="0" borderId="4" xfId="5" applyNumberFormat="1" applyFont="1" applyBorder="1" applyAlignment="1">
      <alignment horizontal="center"/>
    </xf>
    <xf numFmtId="4" fontId="18" fillId="0" borderId="4" xfId="5" applyNumberFormat="1" applyFont="1" applyBorder="1" applyAlignment="1">
      <alignment horizontal="center"/>
    </xf>
    <xf numFmtId="0" fontId="18" fillId="0" borderId="4" xfId="5" applyFont="1" applyBorder="1" applyAlignment="1">
      <alignment horizontal="center"/>
    </xf>
    <xf numFmtId="0" fontId="2" fillId="11" borderId="19" xfId="5" applyFill="1" applyBorder="1" applyAlignment="1">
      <alignment horizontal="center"/>
    </xf>
    <xf numFmtId="0" fontId="2" fillId="10" borderId="19" xfId="5" applyFill="1" applyBorder="1" applyAlignment="1">
      <alignment horizontal="center"/>
    </xf>
    <xf numFmtId="0" fontId="2" fillId="12" borderId="19" xfId="5" applyFill="1" applyBorder="1" applyAlignment="1">
      <alignment horizontal="center"/>
    </xf>
    <xf numFmtId="0" fontId="2" fillId="0" borderId="19" xfId="5" applyBorder="1"/>
    <xf numFmtId="2" fontId="2" fillId="0" borderId="19" xfId="5" applyNumberFormat="1" applyBorder="1"/>
    <xf numFmtId="0" fontId="15" fillId="9" borderId="19" xfId="5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4" fontId="26" fillId="8" borderId="4" xfId="10" applyNumberFormat="1" applyFont="1" applyFill="1" applyBorder="1" applyAlignment="1">
      <alignment horizontal="center"/>
    </xf>
    <xf numFmtId="2" fontId="26" fillId="8" borderId="4" xfId="10" applyNumberFormat="1" applyFont="1" applyFill="1" applyBorder="1" applyAlignment="1">
      <alignment horizontal="center"/>
    </xf>
    <xf numFmtId="167" fontId="21" fillId="8" borderId="4" xfId="10" applyNumberFormat="1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7" fillId="0" borderId="0" xfId="5" quotePrefix="1" applyFont="1"/>
    <xf numFmtId="0" fontId="19" fillId="14" borderId="0" xfId="5" applyFont="1" applyFill="1" applyAlignment="1">
      <alignment horizontal="center"/>
    </xf>
    <xf numFmtId="0" fontId="0" fillId="14" borderId="0" xfId="0" applyFill="1"/>
    <xf numFmtId="0" fontId="15" fillId="15" borderId="0" xfId="9" applyFont="1" applyFill="1" applyBorder="1" applyAlignment="1">
      <alignment horizontal="center" wrapText="1"/>
    </xf>
    <xf numFmtId="2" fontId="15" fillId="15" borderId="0" xfId="9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27" fillId="7" borderId="4" xfId="10" applyFont="1" applyFill="1" applyBorder="1" applyAlignment="1">
      <alignment horizontal="center" wrapText="1"/>
    </xf>
    <xf numFmtId="0" fontId="27" fillId="8" borderId="4" xfId="10" applyFont="1" applyFill="1" applyBorder="1" applyAlignment="1">
      <alignment horizontal="center"/>
    </xf>
    <xf numFmtId="0" fontId="21" fillId="4" borderId="10" xfId="2" applyFont="1" applyBorder="1" applyAlignment="1">
      <alignment horizontal="center"/>
    </xf>
    <xf numFmtId="0" fontId="21" fillId="4" borderId="11" xfId="2" applyFont="1" applyBorder="1" applyAlignment="1">
      <alignment horizontal="center"/>
    </xf>
    <xf numFmtId="0" fontId="21" fillId="4" borderId="5" xfId="2" applyFont="1" applyBorder="1" applyAlignment="1">
      <alignment horizontal="center"/>
    </xf>
    <xf numFmtId="0" fontId="21" fillId="4" borderId="7" xfId="2" applyFont="1" applyBorder="1" applyAlignment="1">
      <alignment horizontal="center"/>
    </xf>
    <xf numFmtId="0" fontId="21" fillId="4" borderId="6" xfId="2" applyFont="1" applyBorder="1" applyAlignment="1">
      <alignment horizontal="center"/>
    </xf>
    <xf numFmtId="0" fontId="17" fillId="13" borderId="20" xfId="3" applyFont="1" applyFill="1" applyBorder="1" applyAlignment="1">
      <alignment horizontal="center"/>
    </xf>
    <xf numFmtId="0" fontId="17" fillId="13" borderId="21" xfId="3" applyFont="1" applyFill="1" applyBorder="1" applyAlignment="1">
      <alignment horizontal="center"/>
    </xf>
    <xf numFmtId="0" fontId="2" fillId="7" borderId="20" xfId="4" applyFill="1" applyBorder="1" applyAlignment="1">
      <alignment horizontal="center"/>
    </xf>
    <xf numFmtId="0" fontId="2" fillId="7" borderId="21" xfId="4" applyFill="1" applyBorder="1" applyAlignment="1">
      <alignment horizontal="center"/>
    </xf>
    <xf numFmtId="0" fontId="21" fillId="5" borderId="5" xfId="9" applyFont="1" applyBorder="1" applyAlignment="1">
      <alignment horizontal="center" wrapText="1"/>
    </xf>
    <xf numFmtId="0" fontId="27" fillId="5" borderId="7" xfId="9" applyFont="1" applyBorder="1" applyAlignment="1">
      <alignment horizontal="center" wrapText="1"/>
    </xf>
    <xf numFmtId="0" fontId="27" fillId="5" borderId="6" xfId="9" applyFont="1" applyBorder="1" applyAlignment="1">
      <alignment horizontal="center" wrapText="1"/>
    </xf>
    <xf numFmtId="0" fontId="27" fillId="5" borderId="4" xfId="9" applyFont="1" applyBorder="1" applyAlignment="1">
      <alignment horizontal="center"/>
    </xf>
    <xf numFmtId="0" fontId="20" fillId="0" borderId="5" xfId="6" applyBorder="1" applyAlignment="1">
      <alignment horizontal="center"/>
    </xf>
    <xf numFmtId="0" fontId="20" fillId="0" borderId="7" xfId="6" applyBorder="1" applyAlignment="1">
      <alignment horizontal="center"/>
    </xf>
    <xf numFmtId="0" fontId="20" fillId="0" borderId="6" xfId="6" applyBorder="1" applyAlignment="1">
      <alignment horizontal="center"/>
    </xf>
    <xf numFmtId="0" fontId="21" fillId="0" borderId="5" xfId="5" applyFont="1" applyBorder="1" applyAlignment="1">
      <alignment horizontal="center"/>
    </xf>
    <xf numFmtId="0" fontId="2" fillId="0" borderId="7" xfId="5" applyBorder="1" applyAlignment="1">
      <alignment horizontal="center"/>
    </xf>
    <xf numFmtId="0" fontId="2" fillId="0" borderId="6" xfId="5" applyBorder="1" applyAlignment="1">
      <alignment horizontal="center"/>
    </xf>
    <xf numFmtId="0" fontId="19" fillId="0" borderId="10" xfId="5" applyFont="1" applyBorder="1" applyAlignment="1">
      <alignment horizontal="center"/>
    </xf>
    <xf numFmtId="0" fontId="19" fillId="0" borderId="11" xfId="5" applyFont="1" applyBorder="1" applyAlignment="1">
      <alignment horizontal="center"/>
    </xf>
    <xf numFmtId="0" fontId="19" fillId="0" borderId="12" xfId="5" applyFont="1" applyBorder="1" applyAlignment="1">
      <alignment horizontal="center"/>
    </xf>
    <xf numFmtId="0" fontId="17" fillId="5" borderId="10" xfId="3" applyFont="1" applyBorder="1" applyAlignment="1">
      <alignment horizontal="center"/>
    </xf>
    <xf numFmtId="0" fontId="17" fillId="5" borderId="12" xfId="3" applyFont="1" applyBorder="1" applyAlignment="1">
      <alignment horizontal="center"/>
    </xf>
    <xf numFmtId="0" fontId="1" fillId="7" borderId="10" xfId="4" applyFont="1" applyFill="1" applyBorder="1" applyAlignment="1">
      <alignment horizontal="center"/>
    </xf>
    <xf numFmtId="0" fontId="2" fillId="7" borderId="12" xfId="4" applyFill="1" applyBorder="1" applyAlignment="1">
      <alignment horizontal="center"/>
    </xf>
    <xf numFmtId="0" fontId="17" fillId="4" borderId="17" xfId="2" applyFont="1" applyBorder="1" applyAlignment="1">
      <alignment horizontal="center"/>
    </xf>
    <xf numFmtId="0" fontId="17" fillId="4" borderId="18" xfId="2" applyFont="1" applyBorder="1" applyAlignment="1">
      <alignment horizontal="center"/>
    </xf>
    <xf numFmtId="164" fontId="4" fillId="2" borderId="2" xfId="0" applyNumberFormat="1" applyFont="1" applyFill="1" applyBorder="1" applyAlignment="1">
      <alignment horizontal="center" vertical="center" wrapText="1"/>
    </xf>
  </cellXfs>
  <cellStyles count="11">
    <cellStyle name="20% - Accent1" xfId="4" builtinId="30"/>
    <cellStyle name="20% - Accent1 2" xfId="10" xr:uid="{8B860906-4D5A-4108-9D2D-B9E59002314D}"/>
    <cellStyle name="Bad" xfId="3" builtinId="27"/>
    <cellStyle name="Bad 2" xfId="9" xr:uid="{259C5B2B-112B-41DC-8239-65538C039C2B}"/>
    <cellStyle name="Currency 2" xfId="7" xr:uid="{D24EB46B-4AB4-45A4-8FB3-4ACC3381165B}"/>
    <cellStyle name="Good" xfId="2" builtinId="26"/>
    <cellStyle name="Good 2" xfId="8" xr:uid="{66F6951A-AFE9-436F-AF16-AEF8A864EE88}"/>
    <cellStyle name="Hyperlink" xfId="6" builtinId="8"/>
    <cellStyle name="Normal" xfId="0" builtinId="0"/>
    <cellStyle name="Normal 2" xfId="5" xr:uid="{68EDC4FC-077B-4F05-B4D6-53AD071E6CFC}"/>
    <cellStyle name="Percent" xfId="1" builtinId="5"/>
  </cellStyles>
  <dxfs count="0"/>
  <tableStyles count="0" defaultTableStyle="TableStyleMedium2" defaultPivotStyle="PivotStyleLight16"/>
  <colors>
    <mruColors>
      <color rgb="FFCCFFC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glow rad="101600">
                  <a:srgbClr val="FFC7CE">
                    <a:alpha val="40000"/>
                  </a:srgb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'VALUATION CALC'!$J$15</c:f>
              <c:strCache>
                <c:ptCount val="1"/>
                <c:pt idx="0">
                  <c:v>Current P/E ratio</c:v>
                </c:pt>
              </c:strCache>
            </c:strRef>
          </c:tx>
          <c:spPr>
            <a:solidFill>
              <a:srgbClr val="FFC7CE"/>
            </a:solidFill>
            <a:ln>
              <a:noFill/>
            </a:ln>
            <a:effectLst/>
          </c:spPr>
          <c:invertIfNegative val="0"/>
          <c:cat>
            <c:strRef>
              <c:f>'VALUATION CALC'!$I$16:$I$19</c:f>
              <c:strCache>
                <c:ptCount val="4"/>
                <c:pt idx="0">
                  <c:v>Lululemon</c:v>
                </c:pt>
                <c:pt idx="1">
                  <c:v>ASICS</c:v>
                </c:pt>
                <c:pt idx="2">
                  <c:v>ADIDAS</c:v>
                </c:pt>
                <c:pt idx="3">
                  <c:v>NIKE</c:v>
                </c:pt>
              </c:strCache>
            </c:strRef>
          </c:cat>
          <c:val>
            <c:numRef>
              <c:f>'VALUATION CALC'!$J$16:$J$19</c:f>
              <c:numCache>
                <c:formatCode>#,##0.00</c:formatCode>
                <c:ptCount val="4"/>
                <c:pt idx="0" formatCode="0.00">
                  <c:v>28.292349726775953</c:v>
                </c:pt>
                <c:pt idx="1">
                  <c:v>31.5</c:v>
                </c:pt>
                <c:pt idx="2" formatCode="General">
                  <c:v>22.36</c:v>
                </c:pt>
                <c:pt idx="3" formatCode="General">
                  <c:v>32.24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0-4111-A392-B3D53D058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8721808"/>
        <c:axId val="468722768"/>
      </c:barChart>
      <c:catAx>
        <c:axId val="4687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01600">
                    <a:srgbClr val="FFC7CE">
                      <a:alpha val="40000"/>
                    </a:srgb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22768"/>
        <c:crosses val="autoZero"/>
        <c:auto val="1"/>
        <c:lblAlgn val="ctr"/>
        <c:lblOffset val="100"/>
        <c:noMultiLvlLbl val="0"/>
      </c:catAx>
      <c:valAx>
        <c:axId val="4687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01600">
                    <a:srgbClr val="FFC7CE">
                      <a:alpha val="40000"/>
                    </a:srgb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2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>
          <a:effectLst>
            <a:glow rad="101600">
              <a:srgbClr val="FFC7CE">
                <a:alpha val="40000"/>
              </a:srgb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glow rad="101600">
                  <a:schemeClr val="accent1">
                    <a:lumMod val="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'VALUATION CALC'!$J$25</c:f>
              <c:strCache>
                <c:ptCount val="1"/>
                <c:pt idx="0">
                  <c:v>Current P/B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'VALUATION CALC'!$I$26:$I$29</c:f>
              <c:strCache>
                <c:ptCount val="4"/>
                <c:pt idx="0">
                  <c:v>Lululemon</c:v>
                </c:pt>
                <c:pt idx="1">
                  <c:v>ASICS</c:v>
                </c:pt>
                <c:pt idx="2">
                  <c:v>ADIDAS</c:v>
                </c:pt>
                <c:pt idx="3">
                  <c:v>NIKE</c:v>
                </c:pt>
              </c:strCache>
            </c:strRef>
          </c:cat>
          <c:val>
            <c:numRef>
              <c:f>'VALUATION CALC'!$J$26:$J$29</c:f>
              <c:numCache>
                <c:formatCode>General</c:formatCode>
                <c:ptCount val="4"/>
                <c:pt idx="0" formatCode="#,##0.00">
                  <c:v>12.11</c:v>
                </c:pt>
                <c:pt idx="1">
                  <c:v>9.77</c:v>
                </c:pt>
                <c:pt idx="2">
                  <c:v>4.45</c:v>
                </c:pt>
                <c:pt idx="3">
                  <c:v>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E-4DCB-9A8F-A51DA7286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028880"/>
        <c:axId val="327029840"/>
      </c:barChart>
      <c:catAx>
        <c:axId val="32702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01600">
                    <a:schemeClr val="accent1">
                      <a:lumMod val="60000"/>
                      <a:lumOff val="40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29840"/>
        <c:crosses val="autoZero"/>
        <c:auto val="1"/>
        <c:lblAlgn val="ctr"/>
        <c:lblOffset val="100"/>
        <c:noMultiLvlLbl val="0"/>
      </c:catAx>
      <c:valAx>
        <c:axId val="3270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'VALUATION CALC'!$J$37</c:f>
              <c:strCache>
                <c:ptCount val="1"/>
                <c:pt idx="0">
                  <c:v>Expected Stock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2-40CA-AB19-B70E4D3E08E0}"/>
              </c:ext>
            </c:extLst>
          </c:dPt>
          <c:dPt>
            <c:idx val="2"/>
            <c:invertIfNegative val="0"/>
            <c:bubble3D val="0"/>
            <c:spPr>
              <a:solidFill>
                <a:srgbClr val="CCFF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32-40CA-AB19-B70E4D3E08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'VALUATION CALC'!$I$39:$I$41</c:f>
              <c:strCache>
                <c:ptCount val="3"/>
                <c:pt idx="0">
                  <c:v>P/E multiple</c:v>
                </c:pt>
                <c:pt idx="1">
                  <c:v>P/B multiple</c:v>
                </c:pt>
                <c:pt idx="2">
                  <c:v>EBITDA multiple</c:v>
                </c:pt>
              </c:strCache>
            </c:strRef>
          </c:cat>
          <c:val>
            <c:numRef>
              <c:f>'VALUATION CALC'!$J$39:$J$41</c:f>
              <c:numCache>
                <c:formatCode>General</c:formatCode>
                <c:ptCount val="3"/>
                <c:pt idx="0">
                  <c:v>420.16800000000001</c:v>
                </c:pt>
                <c:pt idx="1">
                  <c:v>240.7</c:v>
                </c:pt>
                <c:pt idx="2" formatCode="0.00">
                  <c:v>401.66833227848093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2-40CA-AB19-B70E4D3E08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25711344"/>
        <c:axId val="325711824"/>
      </c:barChart>
      <c:catAx>
        <c:axId val="3257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11824"/>
        <c:crosses val="autoZero"/>
        <c:auto val="1"/>
        <c:lblAlgn val="ctr"/>
        <c:lblOffset val="100"/>
        <c:noMultiLvlLbl val="0"/>
      </c:catAx>
      <c:valAx>
        <c:axId val="325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1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351518</xdr:colOff>
      <xdr:row>9</xdr:row>
      <xdr:rowOff>34017</xdr:rowOff>
    </xdr:from>
    <xdr:to>
      <xdr:col>17</xdr:col>
      <xdr:colOff>103186</xdr:colOff>
      <xdr:row>20</xdr:row>
      <xdr:rowOff>61911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E346F8-8C06-B771-4F83-70A885CF2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401410</xdr:colOff>
      <xdr:row>20</xdr:row>
      <xdr:rowOff>170089</xdr:rowOff>
    </xdr:from>
    <xdr:to>
      <xdr:col>17</xdr:col>
      <xdr:colOff>283482</xdr:colOff>
      <xdr:row>32</xdr:row>
      <xdr:rowOff>11339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79D103-E0F6-58B9-9870-9AF074F82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258809</xdr:colOff>
      <xdr:row>35</xdr:row>
      <xdr:rowOff>124498</xdr:rowOff>
    </xdr:from>
    <xdr:to>
      <xdr:col>17</xdr:col>
      <xdr:colOff>347325</xdr:colOff>
      <xdr:row>49</xdr:row>
      <xdr:rowOff>173759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C18EB6-3068-F13B-1DF8-993FB9B42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1304795</xdr:colOff>
      <xdr:row>50</xdr:row>
      <xdr:rowOff>134083</xdr:rowOff>
    </xdr:from>
    <xdr:to>
      <xdr:col>9</xdr:col>
      <xdr:colOff>1387929</xdr:colOff>
      <xdr:row>58</xdr:row>
      <xdr:rowOff>130480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1524B3-8473-8AEE-12A2-5615A996B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68836" y="9920042"/>
          <a:ext cx="6359196" cy="1562150"/>
        </a:xfrm>
        <a:prstGeom prst="rect">
          <a:avLst/>
        </a:prstGeom>
      </xdr:spPr>
    </xdr:pic>
    <xdr:clientData/>
  </xdr:twoCellAnchor>
  <xdr:twoCellAnchor editAs="oneCell">
    <xdr:from>
      <xdr:col>0</xdr:col>
      <xdr:colOff>56876</xdr:colOff>
      <xdr:row>24</xdr:row>
      <xdr:rowOff>142165</xdr:rowOff>
    </xdr:from>
    <xdr:to>
      <xdr:col>2</xdr:col>
      <xdr:colOff>1721145</xdr:colOff>
      <xdr:row>26</xdr:row>
      <xdr:rowOff>67415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F6367A1-FCF4-14C0-F67B-939625AD1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76" y="4606120"/>
          <a:ext cx="6782179" cy="294877"/>
        </a:xfrm>
        <a:prstGeom prst="rect">
          <a:avLst/>
        </a:prstGeom>
      </xdr:spPr>
    </xdr:pic>
    <xdr:clientData/>
  </xdr:twoCellAnchor>
  <xdr:twoCellAnchor editAs="oneCell">
    <xdr:from>
      <xdr:col>0</xdr:col>
      <xdr:colOff>42649</xdr:colOff>
      <xdr:row>42</xdr:row>
      <xdr:rowOff>174257</xdr:rowOff>
    </xdr:from>
    <xdr:to>
      <xdr:col>2</xdr:col>
      <xdr:colOff>1272796</xdr:colOff>
      <xdr:row>44</xdr:row>
      <xdr:rowOff>81924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95CD64-7DA4-CE29-8FBF-D76FE6F07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49" y="7964854"/>
          <a:ext cx="6348057" cy="277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quote/etr/ADS/statistics/" TargetMode="External"/><Relationship Id="rId2" Type="http://schemas.openxmlformats.org/officeDocument/2006/relationships/hyperlink" Target="https://stockanalysis.com/stocks/nke/statistics/" TargetMode="External"/><Relationship Id="rId1" Type="http://schemas.openxmlformats.org/officeDocument/2006/relationships/hyperlink" Target="https://stockanalysis.com/quote/tyo/7936/statistics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opLeftCell="L1" workbookViewId="0"/>
  </sheetViews>
  <sheetFormatPr defaultRowHeight="15" outlineLevelRow="1"/>
  <cols>
    <col min="1" max="1" width="85.7109375" customWidth="1"/>
    <col min="2" max="9" width="15.7109375" customWidth="1"/>
  </cols>
  <sheetData>
    <row r="1" spans="1:9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>
      <c r="A2" s="3" t="s">
        <v>1</v>
      </c>
      <c r="B2" s="4" t="s">
        <v>2</v>
      </c>
    </row>
    <row r="3" spans="1:9">
      <c r="A3" s="3" t="s">
        <v>3</v>
      </c>
      <c r="B3" s="3" t="s">
        <v>4</v>
      </c>
    </row>
    <row r="4" spans="1:9">
      <c r="A4" s="3" t="s">
        <v>5</v>
      </c>
      <c r="B4" s="3" t="s">
        <v>6</v>
      </c>
    </row>
    <row r="5" spans="1:9">
      <c r="A5" s="3" t="s">
        <v>7</v>
      </c>
      <c r="B5" s="3" t="s">
        <v>8</v>
      </c>
    </row>
    <row r="6" spans="1:9">
      <c r="A6" s="3" t="s">
        <v>9</v>
      </c>
      <c r="B6" s="3" t="s">
        <v>10</v>
      </c>
    </row>
    <row r="7" spans="1:9">
      <c r="A7" s="3" t="s">
        <v>11</v>
      </c>
      <c r="B7" s="3" t="s">
        <v>12</v>
      </c>
    </row>
    <row r="8" spans="1:9">
      <c r="A8" s="3" t="s">
        <v>13</v>
      </c>
      <c r="B8" s="3" t="s">
        <v>14</v>
      </c>
    </row>
    <row r="9" spans="1:9">
      <c r="A9" s="3" t="s">
        <v>15</v>
      </c>
      <c r="B9" s="3" t="s">
        <v>16</v>
      </c>
    </row>
    <row r="10" spans="1:9">
      <c r="A10" s="3" t="s">
        <v>17</v>
      </c>
      <c r="B10" s="5">
        <v>45922.395209756898</v>
      </c>
    </row>
    <row r="11" spans="1:9">
      <c r="A11" s="6" t="s">
        <v>18</v>
      </c>
      <c r="B11" s="6"/>
      <c r="C11" s="115" t="s">
        <v>19</v>
      </c>
      <c r="D11" s="115" t="s">
        <v>20</v>
      </c>
      <c r="E11" s="115" t="s">
        <v>21</v>
      </c>
      <c r="F11" s="115" t="s">
        <v>22</v>
      </c>
      <c r="G11" s="115" t="s">
        <v>23</v>
      </c>
      <c r="H11" s="115" t="s">
        <v>24</v>
      </c>
      <c r="I11" s="115" t="s">
        <v>25</v>
      </c>
    </row>
    <row r="12" spans="1:9" ht="15" customHeight="1" outlineLevel="1">
      <c r="A12" s="7" t="s">
        <v>26</v>
      </c>
      <c r="C12" s="117">
        <v>45690</v>
      </c>
      <c r="D12" s="117">
        <v>45319</v>
      </c>
      <c r="E12" s="117">
        <v>44955</v>
      </c>
      <c r="F12" s="117">
        <v>44591</v>
      </c>
      <c r="G12" s="117">
        <v>44227</v>
      </c>
      <c r="H12" s="117">
        <v>43863</v>
      </c>
      <c r="I12" s="117">
        <v>43499</v>
      </c>
    </row>
    <row r="13" spans="1:9" ht="15" customHeight="1" outlineLevel="1">
      <c r="A13" s="7" t="s">
        <v>27</v>
      </c>
      <c r="C13" s="117">
        <v>45690</v>
      </c>
      <c r="D13" s="117">
        <v>45319</v>
      </c>
      <c r="E13" s="117">
        <v>45319</v>
      </c>
      <c r="F13" s="117">
        <v>45319</v>
      </c>
      <c r="G13" s="117">
        <v>44227</v>
      </c>
      <c r="H13" s="117">
        <v>43863</v>
      </c>
      <c r="I13" s="117">
        <v>43499</v>
      </c>
    </row>
    <row r="14" spans="1:9" ht="15" customHeight="1" outlineLevel="1">
      <c r="A14" s="7" t="s">
        <v>28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  <c r="I14" s="116" t="s">
        <v>29</v>
      </c>
    </row>
    <row r="15" spans="1:9" ht="15" customHeight="1" outlineLevel="1">
      <c r="A15" s="7" t="s">
        <v>30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31</v>
      </c>
      <c r="H15" s="116" t="s">
        <v>31</v>
      </c>
      <c r="I15" s="116" t="s">
        <v>31</v>
      </c>
    </row>
    <row r="17" spans="1:9">
      <c r="A17" s="8" t="s">
        <v>32</v>
      </c>
      <c r="B17" s="6"/>
      <c r="C17" s="6"/>
      <c r="D17" s="6"/>
      <c r="E17" s="6"/>
      <c r="F17" s="6"/>
      <c r="G17" s="6"/>
      <c r="H17" s="6"/>
      <c r="I17" s="6"/>
    </row>
    <row r="18" spans="1:9">
      <c r="A18" s="8" t="s">
        <v>33</v>
      </c>
      <c r="B18" s="9" t="s">
        <v>34</v>
      </c>
      <c r="C18" s="9" t="s">
        <v>35</v>
      </c>
      <c r="D18" s="9" t="s">
        <v>36</v>
      </c>
      <c r="E18" s="9" t="s">
        <v>37</v>
      </c>
      <c r="F18" s="9" t="s">
        <v>38</v>
      </c>
      <c r="G18" s="9" t="s">
        <v>39</v>
      </c>
      <c r="H18" s="9" t="s">
        <v>40</v>
      </c>
      <c r="I18" s="9" t="s">
        <v>41</v>
      </c>
    </row>
    <row r="19" spans="1:9" ht="15" customHeight="1">
      <c r="A19" s="10" t="s">
        <v>42</v>
      </c>
      <c r="B19" s="11">
        <v>458110</v>
      </c>
      <c r="C19" s="12"/>
      <c r="D19" s="12"/>
      <c r="E19" s="12"/>
      <c r="F19" s="12"/>
      <c r="G19" s="12"/>
      <c r="H19" s="12"/>
      <c r="I19" s="12"/>
    </row>
    <row r="20" spans="1:9" ht="15" customHeight="1">
      <c r="A20" s="13" t="s">
        <v>43</v>
      </c>
      <c r="B20" s="14"/>
      <c r="C20" s="15"/>
      <c r="D20" s="15"/>
      <c r="E20" s="15"/>
      <c r="F20" s="15"/>
      <c r="G20" s="16">
        <v>100.78</v>
      </c>
      <c r="H20" s="17">
        <v>97.9</v>
      </c>
      <c r="I20" s="17">
        <v>76.3</v>
      </c>
    </row>
    <row r="21" spans="1:9" ht="15" customHeight="1">
      <c r="A21" s="13" t="s">
        <v>44</v>
      </c>
      <c r="B21" s="14"/>
      <c r="C21" s="15"/>
      <c r="D21" s="15"/>
      <c r="E21" s="15"/>
      <c r="F21" s="15"/>
      <c r="G21" s="16">
        <v>1658.81</v>
      </c>
      <c r="H21" s="16">
        <v>2501.0700000000002</v>
      </c>
      <c r="I21" s="16">
        <v>2126.36</v>
      </c>
    </row>
    <row r="22" spans="1:9" ht="15" customHeight="1">
      <c r="A22" s="13" t="s">
        <v>45</v>
      </c>
      <c r="B22" s="14"/>
      <c r="C22" s="15"/>
      <c r="D22" s="15"/>
      <c r="E22" s="15"/>
      <c r="F22" s="15"/>
      <c r="G22" s="16">
        <v>134.19999999999999</v>
      </c>
      <c r="H22" s="16">
        <v>171.5</v>
      </c>
      <c r="I22" s="16">
        <v>129.16</v>
      </c>
    </row>
    <row r="23" spans="1:9" ht="15" customHeight="1">
      <c r="A23" s="13" t="s">
        <v>46</v>
      </c>
      <c r="B23" s="14"/>
      <c r="C23" s="15"/>
      <c r="D23" s="15"/>
      <c r="E23" s="15"/>
      <c r="F23" s="15"/>
      <c r="G23" s="16">
        <v>212.59</v>
      </c>
      <c r="H23" s="16">
        <v>689.34</v>
      </c>
      <c r="I23" s="16">
        <v>575.54</v>
      </c>
    </row>
    <row r="24" spans="1:9" ht="15" customHeight="1">
      <c r="A24" s="10" t="s">
        <v>47</v>
      </c>
      <c r="B24" s="11" t="s">
        <v>48</v>
      </c>
      <c r="C24" s="12"/>
      <c r="D24" s="12"/>
      <c r="E24" s="12"/>
      <c r="F24" s="12"/>
      <c r="G24" s="12"/>
      <c r="H24" s="12"/>
      <c r="I24" s="12"/>
    </row>
    <row r="25" spans="1:9" ht="15" customHeight="1">
      <c r="A25" s="13" t="s">
        <v>43</v>
      </c>
      <c r="B25" s="14"/>
      <c r="C25" s="15"/>
      <c r="D25" s="15"/>
      <c r="E25" s="15"/>
      <c r="F25" s="15"/>
      <c r="G25" s="17">
        <v>14.85</v>
      </c>
      <c r="H25" s="17">
        <v>12.47</v>
      </c>
      <c r="I25" s="17">
        <v>10.02</v>
      </c>
    </row>
    <row r="26" spans="1:9" ht="15" customHeight="1">
      <c r="A26" s="13" t="s">
        <v>44</v>
      </c>
      <c r="B26" s="14"/>
      <c r="C26" s="15"/>
      <c r="D26" s="15"/>
      <c r="E26" s="15"/>
      <c r="F26" s="15"/>
      <c r="G26" s="16">
        <v>2284.0700000000002</v>
      </c>
      <c r="H26" s="16">
        <v>1137.82</v>
      </c>
      <c r="I26" s="16">
        <v>858.86</v>
      </c>
    </row>
    <row r="27" spans="1:9" ht="15" customHeight="1">
      <c r="A27" s="13" t="s">
        <v>45</v>
      </c>
      <c r="B27" s="14"/>
      <c r="C27" s="15"/>
      <c r="D27" s="15"/>
      <c r="E27" s="15"/>
      <c r="F27" s="15"/>
      <c r="G27" s="17">
        <v>37.24</v>
      </c>
      <c r="H27" s="17">
        <v>15.81</v>
      </c>
      <c r="I27" s="17">
        <v>6.42</v>
      </c>
    </row>
    <row r="28" spans="1:9" ht="15" customHeight="1">
      <c r="A28" s="13" t="s">
        <v>46</v>
      </c>
      <c r="B28" s="14"/>
      <c r="C28" s="15"/>
      <c r="D28" s="15"/>
      <c r="E28" s="15"/>
      <c r="F28" s="15"/>
      <c r="G28" s="16">
        <v>1029.0999999999999</v>
      </c>
      <c r="H28" s="16">
        <v>482.37</v>
      </c>
      <c r="I28" s="16">
        <v>354.11</v>
      </c>
    </row>
    <row r="29" spans="1:9" ht="15" customHeight="1">
      <c r="A29" s="10" t="s">
        <v>49</v>
      </c>
      <c r="B29" s="11"/>
      <c r="C29" s="12"/>
      <c r="D29" s="12"/>
      <c r="E29" s="12"/>
      <c r="F29" s="12"/>
      <c r="G29" s="12"/>
      <c r="H29" s="12"/>
      <c r="I29" s="12"/>
    </row>
    <row r="30" spans="1:9" ht="15" customHeight="1">
      <c r="A30" s="13" t="s">
        <v>50</v>
      </c>
      <c r="B30" s="14"/>
      <c r="C30" s="17">
        <v>2.74</v>
      </c>
      <c r="D30" s="15"/>
      <c r="E30" s="15"/>
      <c r="F30" s="15"/>
      <c r="G30" s="15"/>
      <c r="H30" s="15"/>
      <c r="I30" s="15"/>
    </row>
    <row r="31" spans="1:9" ht="15" customHeight="1">
      <c r="A31" s="13" t="s">
        <v>43</v>
      </c>
      <c r="B31" s="14"/>
      <c r="C31" s="16">
        <v>177.52</v>
      </c>
      <c r="D31" s="16">
        <v>159.58000000000001</v>
      </c>
      <c r="E31" s="16">
        <v>117.34</v>
      </c>
      <c r="F31" s="17">
        <v>73.89</v>
      </c>
      <c r="G31" s="17">
        <v>69.86</v>
      </c>
      <c r="H31" s="17">
        <v>51.57</v>
      </c>
      <c r="I31" s="17">
        <v>36.159999999999997</v>
      </c>
    </row>
    <row r="32" spans="1:9" ht="15" customHeight="1">
      <c r="A32" s="13" t="s">
        <v>45</v>
      </c>
      <c r="B32" s="14"/>
      <c r="C32" s="15"/>
      <c r="D32" s="15"/>
      <c r="E32" s="15"/>
      <c r="F32" s="15"/>
      <c r="G32" s="17">
        <v>57.78</v>
      </c>
      <c r="H32" s="17">
        <v>95.74</v>
      </c>
      <c r="I32" s="17">
        <v>90.23</v>
      </c>
    </row>
    <row r="33" spans="1:9" ht="15" customHeight="1">
      <c r="A33" s="13" t="s">
        <v>46</v>
      </c>
      <c r="B33" s="14"/>
      <c r="C33" s="18">
        <v>-1334.66</v>
      </c>
      <c r="D33" s="18">
        <v>-1343.66</v>
      </c>
      <c r="E33" s="18">
        <v>-1477.4</v>
      </c>
      <c r="F33" s="18">
        <v>-768.65</v>
      </c>
      <c r="G33" s="18">
        <v>-432.21</v>
      </c>
      <c r="H33" s="18">
        <v>-355.16</v>
      </c>
      <c r="I33" s="18">
        <v>-286.36</v>
      </c>
    </row>
    <row r="34" spans="1:9" ht="15" customHeight="1">
      <c r="A34" s="10" t="s">
        <v>51</v>
      </c>
      <c r="B34" s="11" t="s">
        <v>52</v>
      </c>
      <c r="C34" s="12"/>
      <c r="D34" s="12"/>
      <c r="E34" s="12"/>
      <c r="F34" s="12"/>
      <c r="G34" s="12"/>
      <c r="H34" s="12"/>
      <c r="I34" s="12"/>
    </row>
    <row r="35" spans="1:9" ht="15" customHeight="1">
      <c r="A35" s="13" t="s">
        <v>43</v>
      </c>
      <c r="B35" s="14"/>
      <c r="C35" s="16">
        <v>204.92</v>
      </c>
      <c r="D35" s="16">
        <v>170.42</v>
      </c>
      <c r="E35" s="16">
        <v>137.26</v>
      </c>
      <c r="F35" s="16">
        <v>121.28</v>
      </c>
      <c r="G35" s="15"/>
      <c r="H35" s="15"/>
      <c r="I35" s="15"/>
    </row>
    <row r="36" spans="1:9" ht="15" customHeight="1">
      <c r="A36" s="13" t="s">
        <v>44</v>
      </c>
      <c r="B36" s="14"/>
      <c r="C36" s="16">
        <v>7928.16</v>
      </c>
      <c r="D36" s="16">
        <v>7631.65</v>
      </c>
      <c r="E36" s="16">
        <v>6817.45</v>
      </c>
      <c r="F36" s="16">
        <v>5299.91</v>
      </c>
      <c r="G36" s="15"/>
      <c r="H36" s="15"/>
      <c r="I36" s="15"/>
    </row>
    <row r="37" spans="1:9" ht="15" customHeight="1">
      <c r="A37" s="13" t="s">
        <v>46</v>
      </c>
      <c r="B37" s="14"/>
      <c r="C37" s="16">
        <v>3015.56</v>
      </c>
      <c r="D37" s="16">
        <v>2937.18</v>
      </c>
      <c r="E37" s="16">
        <v>2503.7399999999998</v>
      </c>
      <c r="F37" s="16">
        <v>1867.02</v>
      </c>
      <c r="G37" s="15"/>
      <c r="H37" s="15"/>
      <c r="I37" s="15"/>
    </row>
    <row r="38" spans="1:9" ht="15" customHeight="1">
      <c r="A38" s="10" t="s">
        <v>53</v>
      </c>
      <c r="B38" s="11" t="s">
        <v>52</v>
      </c>
      <c r="C38" s="12"/>
      <c r="D38" s="12"/>
      <c r="E38" s="12"/>
      <c r="F38" s="12"/>
      <c r="G38" s="12"/>
      <c r="H38" s="12"/>
      <c r="I38" s="12"/>
    </row>
    <row r="39" spans="1:9" ht="15" customHeight="1">
      <c r="A39" s="13" t="s">
        <v>43</v>
      </c>
      <c r="B39" s="14"/>
      <c r="C39" s="17">
        <v>33.21</v>
      </c>
      <c r="D39" s="17">
        <v>25.75</v>
      </c>
      <c r="E39" s="17">
        <v>17.84</v>
      </c>
      <c r="F39" s="17">
        <v>12.21</v>
      </c>
      <c r="G39" s="15"/>
      <c r="H39" s="15"/>
      <c r="I39" s="15"/>
    </row>
    <row r="40" spans="1:9" ht="15" customHeight="1">
      <c r="A40" s="13" t="s">
        <v>44</v>
      </c>
      <c r="B40" s="14"/>
      <c r="C40" s="16">
        <v>1361.34</v>
      </c>
      <c r="D40" s="16">
        <v>963.76</v>
      </c>
      <c r="E40" s="16">
        <v>576.5</v>
      </c>
      <c r="F40" s="16">
        <v>434.26</v>
      </c>
      <c r="G40" s="15"/>
      <c r="H40" s="15"/>
      <c r="I40" s="15"/>
    </row>
    <row r="41" spans="1:9" ht="15" customHeight="1">
      <c r="A41" s="13" t="s">
        <v>46</v>
      </c>
      <c r="B41" s="14"/>
      <c r="C41" s="16">
        <v>509.86</v>
      </c>
      <c r="D41" s="16">
        <v>337.32</v>
      </c>
      <c r="E41" s="16">
        <v>196.87</v>
      </c>
      <c r="F41" s="16">
        <v>167.32</v>
      </c>
      <c r="G41" s="15"/>
      <c r="H41" s="15"/>
      <c r="I41" s="15"/>
    </row>
    <row r="42" spans="1:9" ht="15" customHeight="1">
      <c r="A42" s="10" t="s">
        <v>54</v>
      </c>
      <c r="B42" s="11" t="s">
        <v>52</v>
      </c>
      <c r="C42" s="12"/>
      <c r="D42" s="12"/>
      <c r="E42" s="12"/>
      <c r="F42" s="12"/>
      <c r="G42" s="12"/>
      <c r="H42" s="12"/>
      <c r="I42" s="12"/>
    </row>
    <row r="43" spans="1:9" ht="15" customHeight="1">
      <c r="A43" s="13" t="s">
        <v>43</v>
      </c>
      <c r="B43" s="14"/>
      <c r="C43" s="17">
        <v>30.87</v>
      </c>
      <c r="D43" s="17">
        <v>23.64</v>
      </c>
      <c r="E43" s="17">
        <v>19.350000000000001</v>
      </c>
      <c r="F43" s="17">
        <v>16.829999999999998</v>
      </c>
      <c r="G43" s="15"/>
      <c r="H43" s="15"/>
      <c r="I43" s="15"/>
    </row>
    <row r="44" spans="1:9" ht="15" customHeight="1">
      <c r="A44" s="13" t="s">
        <v>44</v>
      </c>
      <c r="B44" s="14"/>
      <c r="C44" s="16">
        <v>1298.6300000000001</v>
      </c>
      <c r="D44" s="16">
        <v>1023.87</v>
      </c>
      <c r="E44" s="16">
        <v>716.56</v>
      </c>
      <c r="F44" s="16">
        <v>522.45000000000005</v>
      </c>
      <c r="G44" s="15"/>
      <c r="H44" s="15"/>
      <c r="I44" s="15"/>
    </row>
    <row r="45" spans="1:9" ht="15" customHeight="1">
      <c r="A45" s="13" t="s">
        <v>46</v>
      </c>
      <c r="B45" s="14"/>
      <c r="C45" s="16">
        <v>314.95</v>
      </c>
      <c r="D45" s="16">
        <v>201.83</v>
      </c>
      <c r="E45" s="16">
        <v>103.2</v>
      </c>
      <c r="F45" s="17">
        <v>67.67</v>
      </c>
      <c r="G45" s="15"/>
      <c r="H45" s="15"/>
      <c r="I45" s="15"/>
    </row>
    <row r="46" spans="1:9" ht="15" customHeight="1">
      <c r="A46" s="10" t="s">
        <v>55</v>
      </c>
      <c r="B46" s="11"/>
      <c r="C46" s="12"/>
      <c r="D46" s="12"/>
      <c r="E46" s="12"/>
      <c r="F46" s="12"/>
      <c r="G46" s="12"/>
      <c r="H46" s="12"/>
      <c r="I46" s="12"/>
    </row>
    <row r="47" spans="1:9" ht="15" customHeight="1">
      <c r="A47" s="13" t="s">
        <v>44</v>
      </c>
      <c r="B47" s="14"/>
      <c r="C47" s="15"/>
      <c r="D47" s="15"/>
      <c r="E47" s="15"/>
      <c r="F47" s="15"/>
      <c r="G47" s="16">
        <v>459</v>
      </c>
      <c r="H47" s="16">
        <v>340.41</v>
      </c>
      <c r="I47" s="16">
        <v>303.10000000000002</v>
      </c>
    </row>
    <row r="48" spans="1:9" ht="15" customHeight="1">
      <c r="A48" s="13" t="s">
        <v>46</v>
      </c>
      <c r="B48" s="14"/>
      <c r="C48" s="15"/>
      <c r="D48" s="15"/>
      <c r="E48" s="15"/>
      <c r="F48" s="15"/>
      <c r="G48" s="17">
        <v>10.5</v>
      </c>
      <c r="H48" s="17">
        <v>72.56</v>
      </c>
      <c r="I48" s="17">
        <v>62.56</v>
      </c>
    </row>
    <row r="49" spans="1:9" ht="15" customHeight="1">
      <c r="A49" s="10" t="s">
        <v>56</v>
      </c>
      <c r="B49" s="11"/>
      <c r="C49" s="12"/>
      <c r="D49" s="12"/>
      <c r="E49" s="12"/>
      <c r="F49" s="12"/>
      <c r="G49" s="12"/>
      <c r="H49" s="12"/>
      <c r="I49" s="12"/>
    </row>
    <row r="50" spans="1:9" ht="15" customHeight="1">
      <c r="A50" s="13" t="s">
        <v>50</v>
      </c>
      <c r="B50" s="14"/>
      <c r="C50" s="17">
        <v>2.74</v>
      </c>
      <c r="D50" s="15"/>
      <c r="E50" s="15"/>
      <c r="F50" s="15"/>
      <c r="G50" s="15"/>
      <c r="H50" s="15"/>
      <c r="I50" s="15"/>
    </row>
    <row r="51" spans="1:9" ht="15" customHeight="1">
      <c r="A51" s="13" t="s">
        <v>43</v>
      </c>
      <c r="B51" s="14"/>
      <c r="C51" s="16">
        <v>446.52</v>
      </c>
      <c r="D51" s="16">
        <v>379.38</v>
      </c>
      <c r="E51" s="16">
        <v>291.79000000000002</v>
      </c>
      <c r="F51" s="16">
        <v>224.21</v>
      </c>
      <c r="G51" s="16">
        <v>185.48</v>
      </c>
      <c r="H51" s="16">
        <v>161.93</v>
      </c>
      <c r="I51" s="16">
        <v>122.48</v>
      </c>
    </row>
    <row r="52" spans="1:9" ht="15" customHeight="1">
      <c r="A52" s="13" t="s">
        <v>44</v>
      </c>
      <c r="B52" s="14"/>
      <c r="C52" s="15">
        <v>10588.13</v>
      </c>
      <c r="D52" s="16">
        <v>9619.2800000000007</v>
      </c>
      <c r="E52" s="16">
        <v>8110.52</v>
      </c>
      <c r="F52" s="16">
        <v>6256.62</v>
      </c>
      <c r="G52" s="16">
        <v>4401.88</v>
      </c>
      <c r="H52" s="16">
        <v>3979.3</v>
      </c>
      <c r="I52" s="16">
        <v>3288.32</v>
      </c>
    </row>
    <row r="53" spans="1:9" ht="15" customHeight="1">
      <c r="A53" s="13" t="s">
        <v>45</v>
      </c>
      <c r="B53" s="14"/>
      <c r="C53" s="15"/>
      <c r="D53" s="15"/>
      <c r="E53" s="15"/>
      <c r="F53" s="15"/>
      <c r="G53" s="16">
        <v>229.23</v>
      </c>
      <c r="H53" s="16">
        <v>283.05</v>
      </c>
      <c r="I53" s="16">
        <v>225.81</v>
      </c>
    </row>
    <row r="54" spans="1:9" ht="15" customHeight="1">
      <c r="A54" s="13" t="s">
        <v>46</v>
      </c>
      <c r="B54" s="14"/>
      <c r="C54" s="16">
        <v>2505.6999999999998</v>
      </c>
      <c r="D54" s="16">
        <v>2132.6799999999998</v>
      </c>
      <c r="E54" s="16">
        <v>1328.41</v>
      </c>
      <c r="F54" s="16">
        <v>1333.36</v>
      </c>
      <c r="G54" s="16">
        <v>819.99</v>
      </c>
      <c r="H54" s="16">
        <v>889.11</v>
      </c>
      <c r="I54" s="16">
        <v>705.84</v>
      </c>
    </row>
  </sheetData>
  <mergeCells count="35">
    <mergeCell ref="I15"/>
    <mergeCell ref="G15"/>
    <mergeCell ref="H12"/>
    <mergeCell ref="H13"/>
    <mergeCell ref="H14"/>
    <mergeCell ref="H15"/>
    <mergeCell ref="G12"/>
    <mergeCell ref="G13"/>
    <mergeCell ref="G14"/>
    <mergeCell ref="I12"/>
    <mergeCell ref="I13"/>
    <mergeCell ref="I14"/>
    <mergeCell ref="E15"/>
    <mergeCell ref="F12"/>
    <mergeCell ref="F13"/>
    <mergeCell ref="F14"/>
    <mergeCell ref="F15"/>
    <mergeCell ref="E12"/>
    <mergeCell ref="E13"/>
    <mergeCell ref="E14"/>
    <mergeCell ref="C11"/>
    <mergeCell ref="D11"/>
    <mergeCell ref="C15"/>
    <mergeCell ref="D12"/>
    <mergeCell ref="D13"/>
    <mergeCell ref="D14"/>
    <mergeCell ref="D15"/>
    <mergeCell ref="C12"/>
    <mergeCell ref="C13"/>
    <mergeCell ref="C14"/>
    <mergeCell ref="E11"/>
    <mergeCell ref="F11"/>
    <mergeCell ref="G11"/>
    <mergeCell ref="H11"/>
    <mergeCell ref="I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6"/>
  <sheetViews>
    <sheetView workbookViewId="0"/>
  </sheetViews>
  <sheetFormatPr defaultRowHeight="15" outlineLevelRow="1"/>
  <cols>
    <col min="1" max="1" width="85.7109375" customWidth="1"/>
    <col min="2" max="9" width="15.7109375" customWidth="1"/>
  </cols>
  <sheetData>
    <row r="1" spans="1:9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>
      <c r="A2" s="3" t="s">
        <v>1</v>
      </c>
      <c r="B2" s="4" t="s">
        <v>2</v>
      </c>
    </row>
    <row r="3" spans="1:9">
      <c r="A3" s="3" t="s">
        <v>3</v>
      </c>
      <c r="B3" s="3" t="s">
        <v>4</v>
      </c>
    </row>
    <row r="4" spans="1:9">
      <c r="A4" s="3" t="s">
        <v>5</v>
      </c>
      <c r="B4" s="3" t="s">
        <v>6</v>
      </c>
    </row>
    <row r="5" spans="1:9">
      <c r="A5" s="3" t="s">
        <v>7</v>
      </c>
      <c r="B5" s="3" t="s">
        <v>8</v>
      </c>
    </row>
    <row r="6" spans="1:9">
      <c r="A6" s="3" t="s">
        <v>9</v>
      </c>
      <c r="B6" s="3" t="s">
        <v>10</v>
      </c>
    </row>
    <row r="7" spans="1:9">
      <c r="A7" s="3" t="s">
        <v>11</v>
      </c>
      <c r="B7" s="3" t="s">
        <v>12</v>
      </c>
    </row>
    <row r="8" spans="1:9">
      <c r="A8" s="3" t="s">
        <v>13</v>
      </c>
      <c r="B8" s="3" t="s">
        <v>14</v>
      </c>
    </row>
    <row r="9" spans="1:9">
      <c r="A9" s="3" t="s">
        <v>15</v>
      </c>
      <c r="B9" s="3" t="s">
        <v>16</v>
      </c>
    </row>
    <row r="10" spans="1:9">
      <c r="A10" s="3" t="s">
        <v>17</v>
      </c>
      <c r="B10" s="5">
        <v>45922.395209780101</v>
      </c>
    </row>
    <row r="11" spans="1:9">
      <c r="A11" s="6" t="s">
        <v>18</v>
      </c>
      <c r="B11" s="6"/>
      <c r="C11" s="115" t="s">
        <v>19</v>
      </c>
      <c r="D11" s="115" t="s">
        <v>20</v>
      </c>
      <c r="E11" s="115" t="s">
        <v>21</v>
      </c>
      <c r="F11" s="115" t="s">
        <v>22</v>
      </c>
      <c r="G11" s="115" t="s">
        <v>23</v>
      </c>
      <c r="H11" s="115" t="s">
        <v>24</v>
      </c>
      <c r="I11" s="115" t="s">
        <v>25</v>
      </c>
    </row>
    <row r="12" spans="1:9" ht="15" customHeight="1" outlineLevel="1">
      <c r="A12" s="7" t="s">
        <v>26</v>
      </c>
      <c r="C12" s="117">
        <v>45690</v>
      </c>
      <c r="D12" s="117">
        <v>45319</v>
      </c>
      <c r="E12" s="117">
        <v>44955</v>
      </c>
      <c r="F12" s="117">
        <v>44591</v>
      </c>
      <c r="G12" s="117">
        <v>44227</v>
      </c>
      <c r="H12" s="117">
        <v>43863</v>
      </c>
      <c r="I12" s="117">
        <v>43499</v>
      </c>
    </row>
    <row r="13" spans="1:9" ht="15" customHeight="1" outlineLevel="1">
      <c r="A13" s="7" t="s">
        <v>27</v>
      </c>
      <c r="C13" s="117">
        <v>45690</v>
      </c>
      <c r="D13" s="117">
        <v>45319</v>
      </c>
      <c r="E13" s="117">
        <v>44955</v>
      </c>
      <c r="F13" s="117">
        <v>44591</v>
      </c>
      <c r="G13" s="117">
        <v>44227</v>
      </c>
      <c r="H13" s="117">
        <v>43863</v>
      </c>
      <c r="I13" s="117">
        <v>43499</v>
      </c>
    </row>
    <row r="14" spans="1:9" ht="15" customHeight="1" outlineLevel="1">
      <c r="A14" s="7" t="s">
        <v>28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  <c r="I14" s="116" t="s">
        <v>29</v>
      </c>
    </row>
    <row r="15" spans="1:9" ht="15" customHeight="1" outlineLevel="1">
      <c r="A15" s="7" t="s">
        <v>30</v>
      </c>
      <c r="C15" s="116" t="s">
        <v>57</v>
      </c>
      <c r="D15" s="116" t="s">
        <v>57</v>
      </c>
      <c r="E15" s="116" t="s">
        <v>57</v>
      </c>
      <c r="F15" s="116" t="s">
        <v>57</v>
      </c>
      <c r="G15" s="116" t="s">
        <v>57</v>
      </c>
      <c r="H15" s="116" t="s">
        <v>57</v>
      </c>
      <c r="I15" s="116" t="s">
        <v>57</v>
      </c>
    </row>
    <row r="17" spans="1:9">
      <c r="A17" s="8" t="s">
        <v>58</v>
      </c>
      <c r="B17" s="6"/>
      <c r="C17" s="6"/>
      <c r="D17" s="6"/>
      <c r="E17" s="6"/>
      <c r="F17" s="6"/>
      <c r="G17" s="6"/>
      <c r="H17" s="6"/>
      <c r="I17" s="6"/>
    </row>
    <row r="18" spans="1:9">
      <c r="A18" s="8" t="s">
        <v>33</v>
      </c>
      <c r="B18" s="9" t="s">
        <v>34</v>
      </c>
      <c r="C18" s="9" t="s">
        <v>35</v>
      </c>
      <c r="D18" s="9" t="s">
        <v>36</v>
      </c>
      <c r="E18" s="9" t="s">
        <v>37</v>
      </c>
      <c r="F18" s="9" t="s">
        <v>38</v>
      </c>
      <c r="G18" s="9" t="s">
        <v>39</v>
      </c>
      <c r="H18" s="9" t="s">
        <v>40</v>
      </c>
      <c r="I18" s="9" t="s">
        <v>41</v>
      </c>
    </row>
    <row r="19" spans="1:9" ht="15" customHeight="1">
      <c r="A19" s="10" t="s">
        <v>45</v>
      </c>
      <c r="B19" s="11"/>
      <c r="C19" s="12"/>
      <c r="D19" s="12"/>
      <c r="E19" s="12"/>
      <c r="F19" s="12"/>
      <c r="G19" s="19">
        <v>229.23</v>
      </c>
      <c r="H19" s="19">
        <v>283.05</v>
      </c>
      <c r="I19" s="19">
        <v>225.81</v>
      </c>
    </row>
    <row r="20" spans="1:9" ht="15" customHeight="1">
      <c r="A20" s="13" t="s">
        <v>42</v>
      </c>
      <c r="B20" s="14">
        <v>458110</v>
      </c>
      <c r="C20" s="15"/>
      <c r="D20" s="15"/>
      <c r="E20" s="15"/>
      <c r="F20" s="15"/>
      <c r="G20" s="16">
        <v>134.19999999999999</v>
      </c>
      <c r="H20" s="16">
        <v>171.5</v>
      </c>
      <c r="I20" s="16">
        <v>129.16</v>
      </c>
    </row>
    <row r="21" spans="1:9" ht="15" customHeight="1">
      <c r="A21" s="13" t="s">
        <v>49</v>
      </c>
      <c r="B21" s="14"/>
      <c r="C21" s="15"/>
      <c r="D21" s="15"/>
      <c r="E21" s="15"/>
      <c r="F21" s="15"/>
      <c r="G21" s="17">
        <v>57.78</v>
      </c>
      <c r="H21" s="17">
        <v>95.74</v>
      </c>
      <c r="I21" s="17">
        <v>90.23</v>
      </c>
    </row>
    <row r="22" spans="1:9" ht="15" customHeight="1">
      <c r="A22" s="13" t="s">
        <v>47</v>
      </c>
      <c r="B22" s="14" t="s">
        <v>48</v>
      </c>
      <c r="C22" s="15"/>
      <c r="D22" s="15"/>
      <c r="E22" s="15"/>
      <c r="F22" s="15"/>
      <c r="G22" s="17">
        <v>37.24</v>
      </c>
      <c r="H22" s="17">
        <v>15.81</v>
      </c>
      <c r="I22" s="17">
        <v>6.42</v>
      </c>
    </row>
    <row r="23" spans="1:9" ht="15" customHeight="1">
      <c r="A23" s="10" t="s">
        <v>46</v>
      </c>
      <c r="B23" s="11"/>
      <c r="C23" s="19">
        <v>2505.6999999999998</v>
      </c>
      <c r="D23" s="19">
        <v>2132.6799999999998</v>
      </c>
      <c r="E23" s="19">
        <v>1328.41</v>
      </c>
      <c r="F23" s="19">
        <v>1333.36</v>
      </c>
      <c r="G23" s="19">
        <v>819.99</v>
      </c>
      <c r="H23" s="19">
        <v>889.11</v>
      </c>
      <c r="I23" s="19">
        <v>705.84</v>
      </c>
    </row>
    <row r="24" spans="1:9" ht="15" customHeight="1">
      <c r="A24" s="13" t="s">
        <v>51</v>
      </c>
      <c r="B24" s="14" t="s">
        <v>52</v>
      </c>
      <c r="C24" s="16">
        <v>3015.56</v>
      </c>
      <c r="D24" s="16">
        <v>2937.18</v>
      </c>
      <c r="E24" s="16">
        <v>2503.7399999999998</v>
      </c>
      <c r="F24" s="16">
        <v>1867.02</v>
      </c>
      <c r="G24" s="15"/>
      <c r="H24" s="15"/>
      <c r="I24" s="15"/>
    </row>
    <row r="25" spans="1:9" ht="15" customHeight="1">
      <c r="A25" s="13" t="s">
        <v>53</v>
      </c>
      <c r="B25" s="14" t="s">
        <v>52</v>
      </c>
      <c r="C25" s="16">
        <v>509.86</v>
      </c>
      <c r="D25" s="16">
        <v>337.32</v>
      </c>
      <c r="E25" s="16">
        <v>196.87</v>
      </c>
      <c r="F25" s="16">
        <v>167.32</v>
      </c>
      <c r="G25" s="15"/>
      <c r="H25" s="15"/>
      <c r="I25" s="15"/>
    </row>
    <row r="26" spans="1:9" ht="15" customHeight="1">
      <c r="A26" s="13" t="s">
        <v>42</v>
      </c>
      <c r="B26" s="14">
        <v>458110</v>
      </c>
      <c r="C26" s="15"/>
      <c r="D26" s="15"/>
      <c r="E26" s="15"/>
      <c r="F26" s="15"/>
      <c r="G26" s="16">
        <v>212.59</v>
      </c>
      <c r="H26" s="16">
        <v>689.34</v>
      </c>
      <c r="I26" s="16">
        <v>575.54</v>
      </c>
    </row>
    <row r="27" spans="1:9" ht="15" customHeight="1">
      <c r="A27" s="13" t="s">
        <v>49</v>
      </c>
      <c r="B27" s="14"/>
      <c r="C27" s="18">
        <v>-1334.66</v>
      </c>
      <c r="D27" s="18">
        <v>-1343.66</v>
      </c>
      <c r="E27" s="18">
        <v>-1477.4</v>
      </c>
      <c r="F27" s="18">
        <v>-768.65</v>
      </c>
      <c r="G27" s="18">
        <v>-432.21</v>
      </c>
      <c r="H27" s="18">
        <v>-355.16</v>
      </c>
      <c r="I27" s="18">
        <v>-286.36</v>
      </c>
    </row>
    <row r="28" spans="1:9" ht="15" customHeight="1">
      <c r="A28" s="13" t="s">
        <v>47</v>
      </c>
      <c r="B28" s="14" t="s">
        <v>48</v>
      </c>
      <c r="C28" s="15"/>
      <c r="D28" s="15"/>
      <c r="E28" s="15"/>
      <c r="F28" s="15"/>
      <c r="G28" s="16">
        <v>1029.0999999999999</v>
      </c>
      <c r="H28" s="16">
        <v>482.37</v>
      </c>
      <c r="I28" s="16">
        <v>354.11</v>
      </c>
    </row>
    <row r="29" spans="1:9" ht="15" customHeight="1">
      <c r="A29" s="13" t="s">
        <v>55</v>
      </c>
      <c r="B29" s="14"/>
      <c r="C29" s="15"/>
      <c r="D29" s="15"/>
      <c r="E29" s="15"/>
      <c r="F29" s="15"/>
      <c r="G29" s="17">
        <v>10.5</v>
      </c>
      <c r="H29" s="17">
        <v>72.56</v>
      </c>
      <c r="I29" s="17">
        <v>62.56</v>
      </c>
    </row>
    <row r="30" spans="1:9" ht="15" customHeight="1">
      <c r="A30" s="13" t="s">
        <v>54</v>
      </c>
      <c r="B30" s="14" t="s">
        <v>52</v>
      </c>
      <c r="C30" s="16">
        <v>314.95</v>
      </c>
      <c r="D30" s="16">
        <v>201.83</v>
      </c>
      <c r="E30" s="16">
        <v>103.2</v>
      </c>
      <c r="F30" s="17">
        <v>67.67</v>
      </c>
      <c r="G30" s="15"/>
      <c r="H30" s="15"/>
      <c r="I30" s="15"/>
    </row>
    <row r="31" spans="1:9" ht="15" customHeight="1">
      <c r="A31" s="10" t="s">
        <v>44</v>
      </c>
      <c r="B31" s="11"/>
      <c r="C31" s="12">
        <v>10588.13</v>
      </c>
      <c r="D31" s="19">
        <v>9619.2800000000007</v>
      </c>
      <c r="E31" s="19">
        <v>8110.52</v>
      </c>
      <c r="F31" s="19">
        <v>6256.62</v>
      </c>
      <c r="G31" s="19">
        <v>4401.88</v>
      </c>
      <c r="H31" s="19">
        <v>3979.3</v>
      </c>
      <c r="I31" s="19">
        <v>3288.32</v>
      </c>
    </row>
    <row r="32" spans="1:9" ht="15" customHeight="1">
      <c r="A32" s="13" t="s">
        <v>51</v>
      </c>
      <c r="B32" s="14" t="s">
        <v>52</v>
      </c>
      <c r="C32" s="16">
        <v>7928.16</v>
      </c>
      <c r="D32" s="16">
        <v>7631.65</v>
      </c>
      <c r="E32" s="16">
        <v>6817.45</v>
      </c>
      <c r="F32" s="16">
        <v>5299.91</v>
      </c>
      <c r="G32" s="15"/>
      <c r="H32" s="15"/>
      <c r="I32" s="15"/>
    </row>
    <row r="33" spans="1:9" ht="15" customHeight="1">
      <c r="A33" s="13" t="s">
        <v>53</v>
      </c>
      <c r="B33" s="14" t="s">
        <v>52</v>
      </c>
      <c r="C33" s="16">
        <v>1361.34</v>
      </c>
      <c r="D33" s="16">
        <v>963.76</v>
      </c>
      <c r="E33" s="16">
        <v>576.5</v>
      </c>
      <c r="F33" s="16">
        <v>434.26</v>
      </c>
      <c r="G33" s="15"/>
      <c r="H33" s="15"/>
      <c r="I33" s="15"/>
    </row>
    <row r="34" spans="1:9" ht="15" customHeight="1">
      <c r="A34" s="13" t="s">
        <v>42</v>
      </c>
      <c r="B34" s="14">
        <v>458110</v>
      </c>
      <c r="C34" s="15"/>
      <c r="D34" s="15"/>
      <c r="E34" s="15"/>
      <c r="F34" s="15"/>
      <c r="G34" s="16">
        <v>1658.81</v>
      </c>
      <c r="H34" s="16">
        <v>2501.0700000000002</v>
      </c>
      <c r="I34" s="16">
        <v>2126.36</v>
      </c>
    </row>
    <row r="35" spans="1:9" ht="15" customHeight="1">
      <c r="A35" s="13" t="s">
        <v>47</v>
      </c>
      <c r="B35" s="14" t="s">
        <v>48</v>
      </c>
      <c r="C35" s="15"/>
      <c r="D35" s="15"/>
      <c r="E35" s="15"/>
      <c r="F35" s="15"/>
      <c r="G35" s="16">
        <v>2284.0700000000002</v>
      </c>
      <c r="H35" s="16">
        <v>1137.82</v>
      </c>
      <c r="I35" s="16">
        <v>858.86</v>
      </c>
    </row>
    <row r="36" spans="1:9" ht="15" customHeight="1">
      <c r="A36" s="13" t="s">
        <v>55</v>
      </c>
      <c r="B36" s="14"/>
      <c r="C36" s="15"/>
      <c r="D36" s="15"/>
      <c r="E36" s="15"/>
      <c r="F36" s="15"/>
      <c r="G36" s="16">
        <v>459</v>
      </c>
      <c r="H36" s="16">
        <v>340.41</v>
      </c>
      <c r="I36" s="16">
        <v>303.10000000000002</v>
      </c>
    </row>
    <row r="37" spans="1:9" ht="15" customHeight="1">
      <c r="A37" s="13" t="s">
        <v>54</v>
      </c>
      <c r="B37" s="14" t="s">
        <v>52</v>
      </c>
      <c r="C37" s="16">
        <v>1298.6300000000001</v>
      </c>
      <c r="D37" s="16">
        <v>1023.87</v>
      </c>
      <c r="E37" s="16">
        <v>716.56</v>
      </c>
      <c r="F37" s="16">
        <v>522.45000000000005</v>
      </c>
      <c r="G37" s="15"/>
      <c r="H37" s="15"/>
      <c r="I37" s="15"/>
    </row>
    <row r="38" spans="1:9" ht="15" customHeight="1">
      <c r="A38" s="10" t="s">
        <v>43</v>
      </c>
      <c r="B38" s="11"/>
      <c r="C38" s="19">
        <v>446.52</v>
      </c>
      <c r="D38" s="19">
        <v>379.38</v>
      </c>
      <c r="E38" s="19">
        <v>291.79000000000002</v>
      </c>
      <c r="F38" s="19">
        <v>224.21</v>
      </c>
      <c r="G38" s="19">
        <v>185.48</v>
      </c>
      <c r="H38" s="19">
        <v>161.93</v>
      </c>
      <c r="I38" s="19">
        <v>122.48</v>
      </c>
    </row>
    <row r="39" spans="1:9" ht="15" customHeight="1">
      <c r="A39" s="13" t="s">
        <v>51</v>
      </c>
      <c r="B39" s="14" t="s">
        <v>52</v>
      </c>
      <c r="C39" s="16">
        <v>204.92</v>
      </c>
      <c r="D39" s="16">
        <v>170.42</v>
      </c>
      <c r="E39" s="16">
        <v>137.26</v>
      </c>
      <c r="F39" s="16">
        <v>121.28</v>
      </c>
      <c r="G39" s="15"/>
      <c r="H39" s="15"/>
      <c r="I39" s="15"/>
    </row>
    <row r="40" spans="1:9" ht="15" customHeight="1">
      <c r="A40" s="13" t="s">
        <v>53</v>
      </c>
      <c r="B40" s="14" t="s">
        <v>52</v>
      </c>
      <c r="C40" s="17">
        <v>33.21</v>
      </c>
      <c r="D40" s="17">
        <v>25.75</v>
      </c>
      <c r="E40" s="17">
        <v>17.84</v>
      </c>
      <c r="F40" s="17">
        <v>12.21</v>
      </c>
      <c r="G40" s="15"/>
      <c r="H40" s="15"/>
      <c r="I40" s="15"/>
    </row>
    <row r="41" spans="1:9" ht="15" customHeight="1">
      <c r="A41" s="13" t="s">
        <v>42</v>
      </c>
      <c r="B41" s="14">
        <v>458110</v>
      </c>
      <c r="C41" s="15"/>
      <c r="D41" s="15"/>
      <c r="E41" s="15"/>
      <c r="F41" s="15"/>
      <c r="G41" s="16">
        <v>100.78</v>
      </c>
      <c r="H41" s="17">
        <v>97.9</v>
      </c>
      <c r="I41" s="17">
        <v>76.3</v>
      </c>
    </row>
    <row r="42" spans="1:9" ht="15" customHeight="1">
      <c r="A42" s="13" t="s">
        <v>49</v>
      </c>
      <c r="B42" s="14"/>
      <c r="C42" s="16">
        <v>177.52</v>
      </c>
      <c r="D42" s="16">
        <v>159.58000000000001</v>
      </c>
      <c r="E42" s="16">
        <v>117.34</v>
      </c>
      <c r="F42" s="17">
        <v>73.89</v>
      </c>
      <c r="G42" s="17">
        <v>69.86</v>
      </c>
      <c r="H42" s="17">
        <v>51.57</v>
      </c>
      <c r="I42" s="17">
        <v>36.159999999999997</v>
      </c>
    </row>
    <row r="43" spans="1:9" ht="15" customHeight="1">
      <c r="A43" s="13" t="s">
        <v>47</v>
      </c>
      <c r="B43" s="14" t="s">
        <v>48</v>
      </c>
      <c r="C43" s="15"/>
      <c r="D43" s="15"/>
      <c r="E43" s="15"/>
      <c r="F43" s="15"/>
      <c r="G43" s="17">
        <v>14.85</v>
      </c>
      <c r="H43" s="17">
        <v>12.47</v>
      </c>
      <c r="I43" s="17">
        <v>10.02</v>
      </c>
    </row>
    <row r="44" spans="1:9" ht="15" customHeight="1">
      <c r="A44" s="13" t="s">
        <v>54</v>
      </c>
      <c r="B44" s="14" t="s">
        <v>52</v>
      </c>
      <c r="C44" s="17">
        <v>30.87</v>
      </c>
      <c r="D44" s="17">
        <v>23.64</v>
      </c>
      <c r="E44" s="17">
        <v>19.350000000000001</v>
      </c>
      <c r="F44" s="17">
        <v>16.829999999999998</v>
      </c>
      <c r="G44" s="15"/>
      <c r="H44" s="15"/>
      <c r="I44" s="15"/>
    </row>
    <row r="45" spans="1:9" ht="15" customHeight="1">
      <c r="A45" s="10" t="s">
        <v>50</v>
      </c>
      <c r="B45" s="11"/>
      <c r="C45" s="20">
        <v>2.74</v>
      </c>
      <c r="D45" s="12"/>
      <c r="E45" s="12"/>
      <c r="F45" s="12"/>
      <c r="G45" s="12"/>
      <c r="H45" s="12"/>
      <c r="I45" s="12"/>
    </row>
    <row r="46" spans="1:9" ht="15" customHeight="1">
      <c r="A46" s="13" t="s">
        <v>49</v>
      </c>
      <c r="B46" s="14"/>
      <c r="C46" s="17">
        <v>2.74</v>
      </c>
      <c r="D46" s="15"/>
      <c r="E46" s="15"/>
      <c r="F46" s="15"/>
      <c r="G46" s="15"/>
      <c r="H46" s="15"/>
      <c r="I46" s="15"/>
    </row>
  </sheetData>
  <mergeCells count="35">
    <mergeCell ref="I15"/>
    <mergeCell ref="G15"/>
    <mergeCell ref="H12"/>
    <mergeCell ref="H13"/>
    <mergeCell ref="H14"/>
    <mergeCell ref="H15"/>
    <mergeCell ref="G12"/>
    <mergeCell ref="G13"/>
    <mergeCell ref="G14"/>
    <mergeCell ref="I12"/>
    <mergeCell ref="I13"/>
    <mergeCell ref="I14"/>
    <mergeCell ref="E15"/>
    <mergeCell ref="F12"/>
    <mergeCell ref="F13"/>
    <mergeCell ref="F14"/>
    <mergeCell ref="F15"/>
    <mergeCell ref="E12"/>
    <mergeCell ref="E13"/>
    <mergeCell ref="E14"/>
    <mergeCell ref="C11"/>
    <mergeCell ref="D11"/>
    <mergeCell ref="C15"/>
    <mergeCell ref="D12"/>
    <mergeCell ref="D13"/>
    <mergeCell ref="D14"/>
    <mergeCell ref="D15"/>
    <mergeCell ref="C12"/>
    <mergeCell ref="C13"/>
    <mergeCell ref="C14"/>
    <mergeCell ref="E11"/>
    <mergeCell ref="F11"/>
    <mergeCell ref="G11"/>
    <mergeCell ref="H11"/>
    <mergeCell ref="I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2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45922.395209803202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31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31</v>
      </c>
      <c r="H15" s="116" t="s">
        <v>31</v>
      </c>
    </row>
    <row r="17" spans="1:8">
      <c r="A17" s="8" t="s">
        <v>59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10" t="s">
        <v>60</v>
      </c>
      <c r="B19" s="12"/>
      <c r="C19" s="12"/>
      <c r="D19" s="12"/>
      <c r="E19" s="12"/>
      <c r="F19" s="12"/>
      <c r="G19" s="12"/>
      <c r="H19" s="12"/>
    </row>
    <row r="20" spans="1:8" ht="15" customHeight="1">
      <c r="A20" s="13" t="s">
        <v>61</v>
      </c>
      <c r="B20" s="15"/>
      <c r="C20" s="15"/>
      <c r="D20" s="15"/>
      <c r="E20" s="15"/>
      <c r="F20" s="15"/>
      <c r="G20" s="15">
        <v>11000</v>
      </c>
      <c r="H20" s="16">
        <v>9200</v>
      </c>
    </row>
    <row r="21" spans="1:8" ht="15" customHeight="1">
      <c r="A21" s="13" t="s">
        <v>44</v>
      </c>
      <c r="B21" s="16">
        <v>6483.18</v>
      </c>
      <c r="C21" s="16">
        <v>6346.39</v>
      </c>
      <c r="D21" s="16">
        <v>5654.34</v>
      </c>
      <c r="E21" s="16">
        <v>4345.6899999999996</v>
      </c>
      <c r="F21" s="16">
        <v>3105.13</v>
      </c>
      <c r="G21" s="16">
        <v>2854.36</v>
      </c>
      <c r="H21" s="16">
        <v>2363.37</v>
      </c>
    </row>
    <row r="22" spans="1:8" ht="15" customHeight="1">
      <c r="A22" s="13" t="s">
        <v>62</v>
      </c>
      <c r="B22" s="16">
        <v>1788.55</v>
      </c>
      <c r="C22" s="16">
        <v>1597.32</v>
      </c>
      <c r="D22" s="15"/>
      <c r="E22" s="15"/>
      <c r="F22" s="15"/>
      <c r="G22" s="15"/>
      <c r="H22" s="15"/>
    </row>
    <row r="23" spans="1:8" ht="15" customHeight="1">
      <c r="A23" s="13" t="s">
        <v>63</v>
      </c>
      <c r="B23" s="16">
        <v>479.96</v>
      </c>
      <c r="C23" s="16">
        <v>458.04</v>
      </c>
      <c r="D23" s="21">
        <v>-98.76</v>
      </c>
      <c r="E23" s="16">
        <v>204.35</v>
      </c>
      <c r="F23" s="16">
        <v>122.57</v>
      </c>
      <c r="G23" s="16">
        <v>180.04</v>
      </c>
      <c r="H23" s="16">
        <v>132.56</v>
      </c>
    </row>
    <row r="24" spans="1:8" ht="15" customHeight="1">
      <c r="A24" s="13" t="s">
        <v>64</v>
      </c>
      <c r="B24" s="15"/>
      <c r="C24" s="15"/>
      <c r="D24" s="16">
        <v>671.21</v>
      </c>
      <c r="E24" s="16">
        <v>418.32</v>
      </c>
      <c r="F24" s="16">
        <v>267.33</v>
      </c>
      <c r="G24" s="16">
        <v>259.49</v>
      </c>
      <c r="H24" s="16">
        <v>217.87</v>
      </c>
    </row>
    <row r="25" spans="1:8" ht="15" customHeight="1">
      <c r="A25" s="10" t="s">
        <v>6</v>
      </c>
      <c r="B25" s="12"/>
      <c r="C25" s="12"/>
      <c r="D25" s="12"/>
      <c r="E25" s="12"/>
      <c r="F25" s="12"/>
      <c r="G25" s="12"/>
      <c r="H25" s="12"/>
    </row>
    <row r="26" spans="1:8" ht="15" customHeight="1">
      <c r="A26" s="13" t="s">
        <v>61</v>
      </c>
      <c r="B26" s="15"/>
      <c r="C26" s="15"/>
      <c r="D26" s="15"/>
      <c r="E26" s="15"/>
      <c r="F26" s="15"/>
      <c r="G26" s="16">
        <v>5200</v>
      </c>
      <c r="H26" s="16">
        <v>4200</v>
      </c>
    </row>
    <row r="27" spans="1:8" ht="15" customHeight="1">
      <c r="A27" s="13" t="s">
        <v>44</v>
      </c>
      <c r="B27" s="16">
        <v>1411.67</v>
      </c>
      <c r="C27" s="16">
        <v>1285.26</v>
      </c>
      <c r="D27" s="16">
        <v>1163.1099999999999</v>
      </c>
      <c r="E27" s="16">
        <v>954.22</v>
      </c>
      <c r="F27" s="16">
        <v>672.61</v>
      </c>
      <c r="G27" s="16">
        <v>649.11</v>
      </c>
      <c r="H27" s="16">
        <v>565.11</v>
      </c>
    </row>
    <row r="28" spans="1:8" ht="15" customHeight="1">
      <c r="A28" s="13" t="s">
        <v>62</v>
      </c>
      <c r="B28" s="16">
        <v>675.05</v>
      </c>
      <c r="C28" s="16">
        <v>671.62</v>
      </c>
      <c r="D28" s="15"/>
      <c r="E28" s="15"/>
      <c r="F28" s="15"/>
      <c r="G28" s="15"/>
      <c r="H28" s="15"/>
    </row>
    <row r="29" spans="1:8" ht="15" customHeight="1">
      <c r="A29" s="13" t="s">
        <v>64</v>
      </c>
      <c r="B29" s="15"/>
      <c r="C29" s="15"/>
      <c r="D29" s="16">
        <v>431.35</v>
      </c>
      <c r="E29" s="16">
        <v>392.19</v>
      </c>
      <c r="F29" s="16">
        <v>394.86</v>
      </c>
      <c r="G29" s="16">
        <v>346.31</v>
      </c>
      <c r="H29" s="16">
        <v>303.06</v>
      </c>
    </row>
    <row r="30" spans="1:8" ht="15" customHeight="1">
      <c r="A30" s="10" t="s">
        <v>65</v>
      </c>
      <c r="B30" s="12"/>
      <c r="C30" s="12"/>
      <c r="D30" s="12"/>
      <c r="E30" s="12"/>
      <c r="F30" s="12"/>
      <c r="G30" s="12"/>
      <c r="H30" s="12"/>
    </row>
    <row r="31" spans="1:8" ht="15" customHeight="1">
      <c r="A31" s="13" t="s">
        <v>61</v>
      </c>
      <c r="B31" s="15"/>
      <c r="C31" s="15"/>
      <c r="D31" s="15"/>
      <c r="E31" s="15"/>
      <c r="F31" s="15"/>
      <c r="G31" s="16">
        <v>2800</v>
      </c>
      <c r="H31" s="16">
        <v>2200</v>
      </c>
    </row>
    <row r="32" spans="1:8" ht="15" customHeight="1">
      <c r="A32" s="13" t="s">
        <v>44</v>
      </c>
      <c r="B32" s="15"/>
      <c r="C32" s="16">
        <v>853.34</v>
      </c>
      <c r="D32" s="16">
        <v>611.42999999999995</v>
      </c>
      <c r="E32" s="16">
        <v>956.71</v>
      </c>
      <c r="F32" s="16">
        <v>624.14</v>
      </c>
      <c r="G32" s="16">
        <v>475.82</v>
      </c>
      <c r="H32" s="16">
        <v>359.84</v>
      </c>
    </row>
    <row r="33" spans="1:8" ht="15" customHeight="1">
      <c r="A33" s="13" t="s">
        <v>62</v>
      </c>
      <c r="B33" s="15"/>
      <c r="C33" s="16">
        <v>257.91000000000003</v>
      </c>
      <c r="D33" s="15"/>
      <c r="E33" s="15"/>
      <c r="F33" s="15"/>
      <c r="G33" s="15"/>
      <c r="H33" s="15"/>
    </row>
    <row r="34" spans="1:8" ht="15" customHeight="1">
      <c r="A34" s="13" t="s">
        <v>64</v>
      </c>
      <c r="B34" s="15"/>
      <c r="C34" s="15"/>
      <c r="D34" s="16">
        <v>167.05</v>
      </c>
      <c r="E34" s="16">
        <v>117.2</v>
      </c>
      <c r="F34" s="17">
        <v>83.5</v>
      </c>
      <c r="G34" s="17">
        <v>65.900000000000006</v>
      </c>
      <c r="H34" s="17">
        <v>46.3</v>
      </c>
    </row>
    <row r="35" spans="1:8" ht="15" customHeight="1">
      <c r="A35" s="10" t="s">
        <v>66</v>
      </c>
      <c r="B35" s="12"/>
      <c r="C35" s="12"/>
      <c r="D35" s="12"/>
      <c r="E35" s="12"/>
      <c r="F35" s="12"/>
      <c r="G35" s="12"/>
      <c r="H35" s="12"/>
    </row>
    <row r="36" spans="1:8" ht="15" customHeight="1">
      <c r="A36" s="13" t="s">
        <v>44</v>
      </c>
      <c r="B36" s="16">
        <v>1541.43</v>
      </c>
      <c r="C36" s="16">
        <v>1134.29</v>
      </c>
      <c r="D36" s="16">
        <v>681.63</v>
      </c>
      <c r="E36" s="15"/>
      <c r="F36" s="15"/>
      <c r="G36" s="15"/>
      <c r="H36" s="15"/>
    </row>
    <row r="37" spans="1:8" ht="15" customHeight="1">
      <c r="A37" s="13" t="s">
        <v>62</v>
      </c>
      <c r="B37" s="16">
        <v>326.62</v>
      </c>
      <c r="C37" s="16">
        <v>284.58</v>
      </c>
      <c r="D37" s="15"/>
      <c r="E37" s="15"/>
      <c r="F37" s="15"/>
      <c r="G37" s="15"/>
      <c r="H37" s="15"/>
    </row>
    <row r="38" spans="1:8" ht="15" customHeight="1">
      <c r="A38" s="10" t="s">
        <v>67</v>
      </c>
      <c r="B38" s="12"/>
      <c r="C38" s="12"/>
      <c r="D38" s="12"/>
      <c r="E38" s="12"/>
      <c r="F38" s="12"/>
      <c r="G38" s="12"/>
      <c r="H38" s="12"/>
    </row>
    <row r="39" spans="1:8" ht="15" customHeight="1">
      <c r="A39" s="13" t="s">
        <v>44</v>
      </c>
      <c r="B39" s="16">
        <v>1118.54</v>
      </c>
      <c r="C39" s="15"/>
      <c r="D39" s="15"/>
      <c r="E39" s="15"/>
      <c r="F39" s="15"/>
      <c r="G39" s="15"/>
      <c r="H39" s="15"/>
    </row>
    <row r="40" spans="1:8" ht="15" customHeight="1">
      <c r="A40" s="13" t="s">
        <v>62</v>
      </c>
      <c r="B40" s="16">
        <v>406.65</v>
      </c>
      <c r="C40" s="15"/>
      <c r="D40" s="15"/>
      <c r="E40" s="15"/>
      <c r="F40" s="15"/>
      <c r="G40" s="15"/>
      <c r="H40" s="15"/>
    </row>
    <row r="41" spans="1:8" ht="15" customHeight="1">
      <c r="A41" s="10" t="s">
        <v>68</v>
      </c>
      <c r="B41" s="12"/>
      <c r="C41" s="12"/>
      <c r="D41" s="12"/>
      <c r="E41" s="12"/>
      <c r="F41" s="12"/>
      <c r="G41" s="12"/>
      <c r="H41" s="12"/>
    </row>
    <row r="42" spans="1:8" ht="15" customHeight="1">
      <c r="A42" s="13" t="s">
        <v>44</v>
      </c>
      <c r="B42" s="17">
        <v>33.299999999999997</v>
      </c>
      <c r="C42" s="15"/>
      <c r="D42" s="15"/>
      <c r="E42" s="15"/>
      <c r="F42" s="15"/>
      <c r="G42" s="15"/>
      <c r="H42" s="15"/>
    </row>
    <row r="43" spans="1:8" ht="15" customHeight="1">
      <c r="A43" s="10" t="s">
        <v>69</v>
      </c>
      <c r="B43" s="12"/>
      <c r="C43" s="12"/>
      <c r="D43" s="12"/>
      <c r="E43" s="12"/>
      <c r="F43" s="12"/>
      <c r="G43" s="12"/>
      <c r="H43" s="12"/>
    </row>
    <row r="44" spans="1:8" ht="15" customHeight="1">
      <c r="A44" s="13" t="s">
        <v>63</v>
      </c>
      <c r="B44" s="16">
        <v>2096.12</v>
      </c>
      <c r="C44" s="16">
        <v>1717.69</v>
      </c>
      <c r="D44" s="16">
        <v>1431.34</v>
      </c>
      <c r="E44" s="16">
        <v>1129.52</v>
      </c>
      <c r="F44" s="16">
        <v>696.78</v>
      </c>
      <c r="G44" s="16">
        <v>717.35</v>
      </c>
      <c r="H44" s="16">
        <v>582.69000000000005</v>
      </c>
    </row>
    <row r="45" spans="1:8" ht="15" customHeight="1">
      <c r="A45" s="10" t="s">
        <v>56</v>
      </c>
      <c r="B45" s="12"/>
      <c r="C45" s="12"/>
      <c r="D45" s="12"/>
      <c r="E45" s="12"/>
      <c r="F45" s="12"/>
      <c r="G45" s="12"/>
      <c r="H45" s="12"/>
    </row>
    <row r="46" spans="1:8" ht="15" customHeight="1">
      <c r="A46" s="13" t="s">
        <v>61</v>
      </c>
      <c r="B46" s="15"/>
      <c r="C46" s="15"/>
      <c r="D46" s="15"/>
      <c r="E46" s="15"/>
      <c r="F46" s="15"/>
      <c r="G46" s="15">
        <v>19000</v>
      </c>
      <c r="H46" s="15">
        <v>15600</v>
      </c>
    </row>
    <row r="47" spans="1:8" ht="15" customHeight="1">
      <c r="A47" s="13" t="s">
        <v>44</v>
      </c>
      <c r="B47" s="15">
        <v>10588.13</v>
      </c>
      <c r="C47" s="16">
        <v>9619.2800000000007</v>
      </c>
      <c r="D47" s="16">
        <v>8110.52</v>
      </c>
      <c r="E47" s="16">
        <v>6256.62</v>
      </c>
      <c r="F47" s="16">
        <v>4401.88</v>
      </c>
      <c r="G47" s="16">
        <v>3979.3</v>
      </c>
      <c r="H47" s="16">
        <v>3288.32</v>
      </c>
    </row>
    <row r="48" spans="1:8" ht="15" customHeight="1">
      <c r="A48" s="13" t="s">
        <v>70</v>
      </c>
      <c r="B48" s="16">
        <v>2521.8200000000002</v>
      </c>
      <c r="C48" s="16">
        <v>2139.8000000000002</v>
      </c>
      <c r="D48" s="15"/>
      <c r="E48" s="15"/>
      <c r="F48" s="15"/>
      <c r="G48" s="15"/>
      <c r="H48" s="15"/>
    </row>
    <row r="49" spans="1:8" ht="15" customHeight="1">
      <c r="A49" s="13" t="s">
        <v>71</v>
      </c>
      <c r="B49" s="16">
        <v>9176.4500000000007</v>
      </c>
      <c r="C49" s="16">
        <v>8334.02</v>
      </c>
      <c r="D49" s="16">
        <v>6947.41</v>
      </c>
      <c r="E49" s="16">
        <v>5302.4</v>
      </c>
      <c r="F49" s="16">
        <v>3729.27</v>
      </c>
      <c r="G49" s="16">
        <v>3330.18</v>
      </c>
      <c r="H49" s="16">
        <v>2723.21</v>
      </c>
    </row>
    <row r="50" spans="1:8" ht="15" customHeight="1">
      <c r="A50" s="13" t="s">
        <v>62</v>
      </c>
      <c r="B50" s="16">
        <v>3196.87</v>
      </c>
      <c r="C50" s="16">
        <v>2811.42</v>
      </c>
      <c r="D50" s="15"/>
      <c r="E50" s="15"/>
      <c r="F50" s="15"/>
      <c r="G50" s="15"/>
      <c r="H50" s="15"/>
    </row>
    <row r="51" spans="1:8" ht="15" customHeight="1">
      <c r="A51" s="13" t="s">
        <v>63</v>
      </c>
      <c r="B51" s="16">
        <v>2576.08</v>
      </c>
      <c r="C51" s="16">
        <v>2175.7399999999998</v>
      </c>
      <c r="D51" s="16">
        <v>1332.57</v>
      </c>
      <c r="E51" s="16">
        <v>1333.87</v>
      </c>
      <c r="F51" s="16">
        <v>819.35</v>
      </c>
      <c r="G51" s="16">
        <v>897.39</v>
      </c>
      <c r="H51" s="16">
        <v>715.25</v>
      </c>
    </row>
    <row r="52" spans="1:8" ht="15" customHeight="1">
      <c r="A52" s="13" t="s">
        <v>64</v>
      </c>
      <c r="B52" s="15"/>
      <c r="C52" s="15"/>
      <c r="D52" s="16">
        <v>1269.6099999999999</v>
      </c>
      <c r="E52" s="16">
        <v>927.71</v>
      </c>
      <c r="F52" s="16">
        <v>745.69</v>
      </c>
      <c r="G52" s="16">
        <v>671.69</v>
      </c>
      <c r="H52" s="16">
        <v>567.24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45922.395209838003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57</v>
      </c>
      <c r="C15" s="116" t="s">
        <v>57</v>
      </c>
      <c r="D15" s="116" t="s">
        <v>57</v>
      </c>
      <c r="E15" s="116" t="s">
        <v>57</v>
      </c>
      <c r="F15" s="116" t="s">
        <v>57</v>
      </c>
      <c r="G15" s="116" t="s">
        <v>57</v>
      </c>
      <c r="H15" s="116" t="s">
        <v>57</v>
      </c>
    </row>
    <row r="17" spans="1:8">
      <c r="A17" s="8" t="s">
        <v>72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10" t="s">
        <v>61</v>
      </c>
      <c r="B19" s="12"/>
      <c r="C19" s="12"/>
      <c r="D19" s="12"/>
      <c r="E19" s="12"/>
      <c r="F19" s="12"/>
      <c r="G19" s="12">
        <v>19000</v>
      </c>
      <c r="H19" s="12">
        <v>15600</v>
      </c>
    </row>
    <row r="20" spans="1:8" ht="15" customHeight="1">
      <c r="A20" s="13" t="s">
        <v>6</v>
      </c>
      <c r="B20" s="15"/>
      <c r="C20" s="15"/>
      <c r="D20" s="15"/>
      <c r="E20" s="15"/>
      <c r="F20" s="15"/>
      <c r="G20" s="16">
        <v>5200</v>
      </c>
      <c r="H20" s="16">
        <v>4200</v>
      </c>
    </row>
    <row r="21" spans="1:8" ht="15" customHeight="1">
      <c r="A21" s="13" t="s">
        <v>65</v>
      </c>
      <c r="B21" s="15"/>
      <c r="C21" s="15"/>
      <c r="D21" s="15"/>
      <c r="E21" s="15"/>
      <c r="F21" s="15"/>
      <c r="G21" s="16">
        <v>2800</v>
      </c>
      <c r="H21" s="16">
        <v>2200</v>
      </c>
    </row>
    <row r="22" spans="1:8" ht="15" customHeight="1">
      <c r="A22" s="13" t="s">
        <v>60</v>
      </c>
      <c r="B22" s="15"/>
      <c r="C22" s="15"/>
      <c r="D22" s="15"/>
      <c r="E22" s="15"/>
      <c r="F22" s="15"/>
      <c r="G22" s="15">
        <v>11000</v>
      </c>
      <c r="H22" s="16">
        <v>9200</v>
      </c>
    </row>
    <row r="23" spans="1:8" ht="15" customHeight="1">
      <c r="A23" s="10" t="s">
        <v>44</v>
      </c>
      <c r="B23" s="12">
        <v>10588.13</v>
      </c>
      <c r="C23" s="19">
        <v>9619.2800000000007</v>
      </c>
      <c r="D23" s="19">
        <v>8110.52</v>
      </c>
      <c r="E23" s="19">
        <v>6256.62</v>
      </c>
      <c r="F23" s="19">
        <v>4401.88</v>
      </c>
      <c r="G23" s="19">
        <v>3979.3</v>
      </c>
      <c r="H23" s="19">
        <v>3288.32</v>
      </c>
    </row>
    <row r="24" spans="1:8" ht="15" customHeight="1">
      <c r="A24" s="13" t="s">
        <v>6</v>
      </c>
      <c r="B24" s="16">
        <v>1411.67</v>
      </c>
      <c r="C24" s="16">
        <v>1285.26</v>
      </c>
      <c r="D24" s="16">
        <v>1163.1099999999999</v>
      </c>
      <c r="E24" s="16">
        <v>954.22</v>
      </c>
      <c r="F24" s="16">
        <v>672.61</v>
      </c>
      <c r="G24" s="16">
        <v>649.11</v>
      </c>
      <c r="H24" s="16">
        <v>565.11</v>
      </c>
    </row>
    <row r="25" spans="1:8" ht="15" customHeight="1">
      <c r="A25" s="13" t="s">
        <v>68</v>
      </c>
      <c r="B25" s="17">
        <v>33.299999999999997</v>
      </c>
      <c r="C25" s="15"/>
      <c r="D25" s="15"/>
      <c r="E25" s="15"/>
      <c r="F25" s="15"/>
      <c r="G25" s="15"/>
      <c r="H25" s="15"/>
    </row>
    <row r="26" spans="1:8" ht="15" customHeight="1">
      <c r="A26" s="13" t="s">
        <v>67</v>
      </c>
      <c r="B26" s="16">
        <v>1118.54</v>
      </c>
      <c r="C26" s="15"/>
      <c r="D26" s="15"/>
      <c r="E26" s="15"/>
      <c r="F26" s="15"/>
      <c r="G26" s="15"/>
      <c r="H26" s="15"/>
    </row>
    <row r="27" spans="1:8" ht="15" customHeight="1">
      <c r="A27" s="13" t="s">
        <v>65</v>
      </c>
      <c r="B27" s="15"/>
      <c r="C27" s="16">
        <v>853.34</v>
      </c>
      <c r="D27" s="16">
        <v>611.42999999999995</v>
      </c>
      <c r="E27" s="16">
        <v>956.71</v>
      </c>
      <c r="F27" s="16">
        <v>624.14</v>
      </c>
      <c r="G27" s="16">
        <v>475.82</v>
      </c>
      <c r="H27" s="16">
        <v>359.84</v>
      </c>
    </row>
    <row r="28" spans="1:8" ht="15" customHeight="1">
      <c r="A28" s="13" t="s">
        <v>66</v>
      </c>
      <c r="B28" s="16">
        <v>1541.43</v>
      </c>
      <c r="C28" s="16">
        <v>1134.29</v>
      </c>
      <c r="D28" s="16">
        <v>681.63</v>
      </c>
      <c r="E28" s="15"/>
      <c r="F28" s="15"/>
      <c r="G28" s="15"/>
      <c r="H28" s="15"/>
    </row>
    <row r="29" spans="1:8" ht="15" customHeight="1">
      <c r="A29" s="13" t="s">
        <v>60</v>
      </c>
      <c r="B29" s="16">
        <v>6483.18</v>
      </c>
      <c r="C29" s="16">
        <v>6346.39</v>
      </c>
      <c r="D29" s="16">
        <v>5654.34</v>
      </c>
      <c r="E29" s="16">
        <v>4345.6899999999996</v>
      </c>
      <c r="F29" s="16">
        <v>3105.13</v>
      </c>
      <c r="G29" s="16">
        <v>2854.36</v>
      </c>
      <c r="H29" s="16">
        <v>2363.37</v>
      </c>
    </row>
    <row r="30" spans="1:8" ht="15" customHeight="1">
      <c r="A30" s="22" t="s">
        <v>70</v>
      </c>
      <c r="B30" s="16">
        <v>2521.8200000000002</v>
      </c>
      <c r="C30" s="16">
        <v>2139.8000000000002</v>
      </c>
      <c r="D30" s="15"/>
      <c r="E30" s="15"/>
      <c r="F30" s="15"/>
      <c r="G30" s="15"/>
      <c r="H30" s="15"/>
    </row>
    <row r="31" spans="1:8" ht="15" customHeight="1">
      <c r="A31" s="22" t="s">
        <v>71</v>
      </c>
      <c r="B31" s="16">
        <v>9176.4500000000007</v>
      </c>
      <c r="C31" s="16">
        <v>8334.02</v>
      </c>
      <c r="D31" s="16">
        <v>6947.41</v>
      </c>
      <c r="E31" s="16">
        <v>5302.4</v>
      </c>
      <c r="F31" s="16">
        <v>3729.27</v>
      </c>
      <c r="G31" s="16">
        <v>3330.18</v>
      </c>
      <c r="H31" s="16">
        <v>2723.21</v>
      </c>
    </row>
    <row r="32" spans="1:8" ht="15" customHeight="1">
      <c r="A32" s="10" t="s">
        <v>64</v>
      </c>
      <c r="B32" s="12"/>
      <c r="C32" s="12"/>
      <c r="D32" s="19">
        <v>1269.6099999999999</v>
      </c>
      <c r="E32" s="19">
        <v>927.71</v>
      </c>
      <c r="F32" s="19">
        <v>745.69</v>
      </c>
      <c r="G32" s="19">
        <v>671.69</v>
      </c>
      <c r="H32" s="19">
        <v>567.24</v>
      </c>
    </row>
    <row r="33" spans="1:8" ht="15" customHeight="1">
      <c r="A33" s="13" t="s">
        <v>6</v>
      </c>
      <c r="B33" s="15"/>
      <c r="C33" s="15"/>
      <c r="D33" s="16">
        <v>431.35</v>
      </c>
      <c r="E33" s="16">
        <v>392.19</v>
      </c>
      <c r="F33" s="16">
        <v>394.86</v>
      </c>
      <c r="G33" s="16">
        <v>346.31</v>
      </c>
      <c r="H33" s="16">
        <v>303.06</v>
      </c>
    </row>
    <row r="34" spans="1:8" ht="15" customHeight="1">
      <c r="A34" s="13" t="s">
        <v>65</v>
      </c>
      <c r="B34" s="15"/>
      <c r="C34" s="15"/>
      <c r="D34" s="16">
        <v>167.05</v>
      </c>
      <c r="E34" s="16">
        <v>117.2</v>
      </c>
      <c r="F34" s="17">
        <v>83.5</v>
      </c>
      <c r="G34" s="17">
        <v>65.900000000000006</v>
      </c>
      <c r="H34" s="17">
        <v>46.3</v>
      </c>
    </row>
    <row r="35" spans="1:8" ht="15" customHeight="1">
      <c r="A35" s="13" t="s">
        <v>60</v>
      </c>
      <c r="B35" s="15"/>
      <c r="C35" s="15"/>
      <c r="D35" s="16">
        <v>671.21</v>
      </c>
      <c r="E35" s="16">
        <v>418.32</v>
      </c>
      <c r="F35" s="16">
        <v>267.33</v>
      </c>
      <c r="G35" s="16">
        <v>259.49</v>
      </c>
      <c r="H35" s="16">
        <v>217.87</v>
      </c>
    </row>
    <row r="36" spans="1:8" ht="15" customHeight="1">
      <c r="A36" s="10" t="s">
        <v>63</v>
      </c>
      <c r="B36" s="19">
        <v>2576.08</v>
      </c>
      <c r="C36" s="19">
        <v>2175.7399999999998</v>
      </c>
      <c r="D36" s="19">
        <v>1332.57</v>
      </c>
      <c r="E36" s="19">
        <v>1333.87</v>
      </c>
      <c r="F36" s="19">
        <v>819.35</v>
      </c>
      <c r="G36" s="19">
        <v>897.39</v>
      </c>
      <c r="H36" s="19">
        <v>715.25</v>
      </c>
    </row>
    <row r="37" spans="1:8" ht="15" customHeight="1">
      <c r="A37" s="13" t="s">
        <v>69</v>
      </c>
      <c r="B37" s="16">
        <v>2096.12</v>
      </c>
      <c r="C37" s="16">
        <v>1717.69</v>
      </c>
      <c r="D37" s="16">
        <v>1431.34</v>
      </c>
      <c r="E37" s="16">
        <v>1129.52</v>
      </c>
      <c r="F37" s="16">
        <v>696.78</v>
      </c>
      <c r="G37" s="16">
        <v>717.35</v>
      </c>
      <c r="H37" s="16">
        <v>582.69000000000005</v>
      </c>
    </row>
    <row r="38" spans="1:8" ht="15" customHeight="1">
      <c r="A38" s="13" t="s">
        <v>60</v>
      </c>
      <c r="B38" s="16">
        <v>479.96</v>
      </c>
      <c r="C38" s="16">
        <v>458.04</v>
      </c>
      <c r="D38" s="21">
        <v>-98.76</v>
      </c>
      <c r="E38" s="16">
        <v>204.35</v>
      </c>
      <c r="F38" s="16">
        <v>122.57</v>
      </c>
      <c r="G38" s="16">
        <v>180.04</v>
      </c>
      <c r="H38" s="16">
        <v>132.56</v>
      </c>
    </row>
    <row r="39" spans="1:8" ht="15" customHeight="1">
      <c r="A39" s="10" t="s">
        <v>62</v>
      </c>
      <c r="B39" s="19">
        <v>3196.87</v>
      </c>
      <c r="C39" s="19">
        <v>2811.42</v>
      </c>
      <c r="D39" s="12"/>
      <c r="E39" s="12"/>
      <c r="F39" s="12"/>
      <c r="G39" s="12"/>
      <c r="H39" s="12"/>
    </row>
    <row r="40" spans="1:8" ht="15" customHeight="1">
      <c r="A40" s="13" t="s">
        <v>6</v>
      </c>
      <c r="B40" s="16">
        <v>675.05</v>
      </c>
      <c r="C40" s="16">
        <v>671.62</v>
      </c>
      <c r="D40" s="15"/>
      <c r="E40" s="15"/>
      <c r="F40" s="15"/>
      <c r="G40" s="15"/>
      <c r="H40" s="15"/>
    </row>
    <row r="41" spans="1:8" ht="15" customHeight="1">
      <c r="A41" s="13" t="s">
        <v>67</v>
      </c>
      <c r="B41" s="16">
        <v>406.65</v>
      </c>
      <c r="C41" s="15"/>
      <c r="D41" s="15"/>
      <c r="E41" s="15"/>
      <c r="F41" s="15"/>
      <c r="G41" s="15"/>
      <c r="H41" s="15"/>
    </row>
    <row r="42" spans="1:8" ht="15" customHeight="1">
      <c r="A42" s="13" t="s">
        <v>65</v>
      </c>
      <c r="B42" s="15"/>
      <c r="C42" s="16">
        <v>257.91000000000003</v>
      </c>
      <c r="D42" s="15"/>
      <c r="E42" s="15"/>
      <c r="F42" s="15"/>
      <c r="G42" s="15"/>
      <c r="H42" s="15"/>
    </row>
    <row r="43" spans="1:8" ht="15" customHeight="1">
      <c r="A43" s="13" t="s">
        <v>66</v>
      </c>
      <c r="B43" s="16">
        <v>326.62</v>
      </c>
      <c r="C43" s="16">
        <v>284.58</v>
      </c>
      <c r="D43" s="15"/>
      <c r="E43" s="15"/>
      <c r="F43" s="15"/>
      <c r="G43" s="15"/>
      <c r="H43" s="15"/>
    </row>
    <row r="44" spans="1:8" ht="15" customHeight="1">
      <c r="A44" s="13" t="s">
        <v>60</v>
      </c>
      <c r="B44" s="16">
        <v>1788.55</v>
      </c>
      <c r="C44" s="16">
        <v>1597.32</v>
      </c>
      <c r="D44" s="15"/>
      <c r="E44" s="15"/>
      <c r="F44" s="15"/>
      <c r="G44" s="15"/>
      <c r="H44" s="15"/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6"/>
  <sheetViews>
    <sheetView workbookViewId="0"/>
  </sheetViews>
  <sheetFormatPr defaultRowHeight="15" outlineLevelRow="1"/>
  <cols>
    <col min="1" max="1" width="85.7109375" customWidth="1"/>
    <col min="2" max="7" width="15.7109375" customWidth="1"/>
  </cols>
  <sheetData>
    <row r="1" spans="1:7" ht="15" customHeight="1">
      <c r="A1" s="1" t="s">
        <v>0</v>
      </c>
      <c r="B1" s="2"/>
      <c r="C1" s="2"/>
      <c r="D1" s="2"/>
      <c r="E1" s="2"/>
      <c r="F1" s="2"/>
      <c r="G1" s="2"/>
    </row>
    <row r="2" spans="1:7" ht="15" customHeight="1">
      <c r="A2" s="3" t="s">
        <v>1</v>
      </c>
      <c r="B2" s="4" t="s">
        <v>2</v>
      </c>
    </row>
    <row r="3" spans="1:7">
      <c r="A3" s="3" t="s">
        <v>3</v>
      </c>
      <c r="B3" s="3" t="s">
        <v>4</v>
      </c>
    </row>
    <row r="4" spans="1:7">
      <c r="A4" s="3" t="s">
        <v>5</v>
      </c>
      <c r="B4" s="3" t="s">
        <v>6</v>
      </c>
    </row>
    <row r="5" spans="1:7">
      <c r="A5" s="3" t="s">
        <v>7</v>
      </c>
      <c r="B5" s="3" t="s">
        <v>8</v>
      </c>
    </row>
    <row r="6" spans="1:7">
      <c r="A6" s="3" t="s">
        <v>9</v>
      </c>
      <c r="B6" s="3" t="s">
        <v>10</v>
      </c>
    </row>
    <row r="7" spans="1:7">
      <c r="A7" s="3" t="s">
        <v>11</v>
      </c>
      <c r="B7" s="3" t="s">
        <v>12</v>
      </c>
    </row>
    <row r="8" spans="1:7">
      <c r="A8" s="3" t="s">
        <v>13</v>
      </c>
      <c r="B8" s="3" t="s">
        <v>14</v>
      </c>
    </row>
    <row r="9" spans="1:7">
      <c r="A9" s="3" t="s">
        <v>15</v>
      </c>
      <c r="B9" s="3" t="s">
        <v>16</v>
      </c>
    </row>
    <row r="10" spans="1:7">
      <c r="A10" s="3" t="s">
        <v>17</v>
      </c>
      <c r="B10" s="5">
        <v>45922.395209849499</v>
      </c>
    </row>
    <row r="11" spans="1:7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</row>
    <row r="12" spans="1:7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</row>
    <row r="13" spans="1:7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</row>
    <row r="14" spans="1:7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</row>
    <row r="15" spans="1:7" ht="15" customHeight="1" outlineLevel="1">
      <c r="A15" s="7" t="s">
        <v>30</v>
      </c>
      <c r="B15" s="116" t="s">
        <v>31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31</v>
      </c>
    </row>
    <row r="17" spans="1:7">
      <c r="A17" s="8" t="s">
        <v>73</v>
      </c>
      <c r="B17" s="6"/>
      <c r="C17" s="6"/>
      <c r="D17" s="6"/>
      <c r="E17" s="6"/>
      <c r="F17" s="6"/>
      <c r="G17" s="6"/>
    </row>
    <row r="18" spans="1:7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</row>
    <row r="19" spans="1:7" ht="15" customHeight="1">
      <c r="A19" s="10" t="s">
        <v>74</v>
      </c>
      <c r="B19" s="12"/>
      <c r="C19" s="12"/>
      <c r="D19" s="12"/>
      <c r="E19" s="12"/>
      <c r="F19" s="12"/>
      <c r="G19" s="12"/>
    </row>
    <row r="20" spans="1:7" ht="15" customHeight="1">
      <c r="A20" s="13" t="s">
        <v>44</v>
      </c>
      <c r="B20" s="16">
        <v>2558.38</v>
      </c>
      <c r="C20" s="16">
        <v>2252.75</v>
      </c>
      <c r="D20" s="16">
        <v>1956.6</v>
      </c>
      <c r="E20" s="16">
        <v>1535.85</v>
      </c>
      <c r="F20" s="16">
        <v>953.18</v>
      </c>
      <c r="G20" s="16">
        <v>933.77</v>
      </c>
    </row>
    <row r="21" spans="1:7" ht="15" customHeight="1">
      <c r="A21" s="10" t="s">
        <v>75</v>
      </c>
      <c r="B21" s="12"/>
      <c r="C21" s="12"/>
      <c r="D21" s="12"/>
      <c r="E21" s="12"/>
      <c r="F21" s="12"/>
      <c r="G21" s="12"/>
    </row>
    <row r="22" spans="1:7" ht="15" customHeight="1">
      <c r="A22" s="13" t="s">
        <v>44</v>
      </c>
      <c r="B22" s="16">
        <v>6692.63</v>
      </c>
      <c r="C22" s="16">
        <v>6147.37</v>
      </c>
      <c r="D22" s="16">
        <v>5259.8</v>
      </c>
      <c r="E22" s="16">
        <v>4171.76</v>
      </c>
      <c r="F22" s="16">
        <v>3049.91</v>
      </c>
      <c r="G22" s="16">
        <v>2791</v>
      </c>
    </row>
    <row r="23" spans="1:7" ht="15" customHeight="1">
      <c r="A23" s="10" t="s">
        <v>76</v>
      </c>
      <c r="B23" s="12"/>
      <c r="C23" s="12"/>
      <c r="D23" s="12"/>
      <c r="E23" s="12"/>
      <c r="F23" s="12"/>
      <c r="G23" s="12"/>
    </row>
    <row r="24" spans="1:7" ht="15" customHeight="1">
      <c r="A24" s="13" t="s">
        <v>44</v>
      </c>
      <c r="B24" s="16">
        <v>1337.12</v>
      </c>
      <c r="C24" s="16">
        <v>1219.1500000000001</v>
      </c>
      <c r="D24" s="16">
        <v>894.11</v>
      </c>
      <c r="E24" s="16">
        <v>549.01</v>
      </c>
      <c r="F24" s="16">
        <v>398.79</v>
      </c>
      <c r="G24" s="16">
        <v>254.53</v>
      </c>
    </row>
    <row r="25" spans="1:7" ht="15" customHeight="1">
      <c r="A25" s="10" t="s">
        <v>56</v>
      </c>
      <c r="B25" s="12"/>
      <c r="C25" s="12"/>
      <c r="D25" s="12"/>
      <c r="E25" s="12"/>
      <c r="F25" s="12"/>
      <c r="G25" s="12"/>
    </row>
    <row r="26" spans="1:7" ht="15" customHeight="1">
      <c r="A26" s="13" t="s">
        <v>44</v>
      </c>
      <c r="B26" s="15">
        <v>10588.13</v>
      </c>
      <c r="C26" s="16">
        <v>9619.2800000000007</v>
      </c>
      <c r="D26" s="16">
        <v>8110.52</v>
      </c>
      <c r="E26" s="16">
        <v>6256.62</v>
      </c>
      <c r="F26" s="16">
        <v>4401.88</v>
      </c>
      <c r="G26" s="16">
        <v>3979.3</v>
      </c>
    </row>
  </sheetData>
  <mergeCells count="30">
    <mergeCell ref="G12"/>
    <mergeCell ref="G13"/>
    <mergeCell ref="G14"/>
    <mergeCell ref="G15"/>
    <mergeCell ref="E15"/>
    <mergeCell ref="F12"/>
    <mergeCell ref="F13"/>
    <mergeCell ref="F14"/>
    <mergeCell ref="F15"/>
    <mergeCell ref="G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2"/>
  <sheetViews>
    <sheetView workbookViewId="0"/>
  </sheetViews>
  <sheetFormatPr defaultRowHeight="15" outlineLevelRow="1"/>
  <cols>
    <col min="1" max="1" width="85.7109375" customWidth="1"/>
    <col min="2" max="7" width="15.7109375" customWidth="1"/>
  </cols>
  <sheetData>
    <row r="1" spans="1:7" ht="15" customHeight="1">
      <c r="A1" s="1" t="s">
        <v>0</v>
      </c>
      <c r="B1" s="2"/>
      <c r="C1" s="2"/>
      <c r="D1" s="2"/>
      <c r="E1" s="2"/>
      <c r="F1" s="2"/>
      <c r="G1" s="2"/>
    </row>
    <row r="2" spans="1:7" ht="15" customHeight="1">
      <c r="A2" s="3" t="s">
        <v>1</v>
      </c>
      <c r="B2" s="4" t="s">
        <v>2</v>
      </c>
    </row>
    <row r="3" spans="1:7">
      <c r="A3" s="3" t="s">
        <v>3</v>
      </c>
      <c r="B3" s="3" t="s">
        <v>4</v>
      </c>
    </row>
    <row r="4" spans="1:7">
      <c r="A4" s="3" t="s">
        <v>5</v>
      </c>
      <c r="B4" s="3" t="s">
        <v>6</v>
      </c>
    </row>
    <row r="5" spans="1:7">
      <c r="A5" s="3" t="s">
        <v>7</v>
      </c>
      <c r="B5" s="3" t="s">
        <v>8</v>
      </c>
    </row>
    <row r="6" spans="1:7">
      <c r="A6" s="3" t="s">
        <v>9</v>
      </c>
      <c r="B6" s="3" t="s">
        <v>10</v>
      </c>
    </row>
    <row r="7" spans="1:7">
      <c r="A7" s="3" t="s">
        <v>11</v>
      </c>
      <c r="B7" s="3" t="s">
        <v>12</v>
      </c>
    </row>
    <row r="8" spans="1:7">
      <c r="A8" s="3" t="s">
        <v>13</v>
      </c>
      <c r="B8" s="3" t="s">
        <v>14</v>
      </c>
    </row>
    <row r="9" spans="1:7">
      <c r="A9" s="3" t="s">
        <v>15</v>
      </c>
      <c r="B9" s="3" t="s">
        <v>16</v>
      </c>
    </row>
    <row r="10" spans="1:7">
      <c r="A10" s="3" t="s">
        <v>17</v>
      </c>
      <c r="B10" s="5">
        <v>45922.395209861097</v>
      </c>
    </row>
    <row r="11" spans="1:7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</row>
    <row r="12" spans="1:7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</row>
    <row r="13" spans="1:7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</row>
    <row r="14" spans="1:7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</row>
    <row r="15" spans="1:7" ht="15" customHeight="1" outlineLevel="1">
      <c r="A15" s="7" t="s">
        <v>30</v>
      </c>
      <c r="B15" s="116" t="s">
        <v>31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31</v>
      </c>
    </row>
    <row r="17" spans="1:7">
      <c r="A17" s="8" t="s">
        <v>77</v>
      </c>
      <c r="B17" s="6"/>
      <c r="C17" s="6"/>
      <c r="D17" s="6"/>
      <c r="E17" s="6"/>
      <c r="F17" s="6"/>
      <c r="G17" s="6"/>
    </row>
    <row r="18" spans="1:7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</row>
    <row r="19" spans="1:7" ht="15" customHeight="1">
      <c r="A19" s="10" t="s">
        <v>44</v>
      </c>
      <c r="B19" s="12">
        <v>10588.13</v>
      </c>
      <c r="C19" s="19">
        <v>9619.2800000000007</v>
      </c>
      <c r="D19" s="19">
        <v>8110.52</v>
      </c>
      <c r="E19" s="19">
        <v>6256.62</v>
      </c>
      <c r="F19" s="19">
        <v>4401.88</v>
      </c>
      <c r="G19" s="19">
        <v>3979.3</v>
      </c>
    </row>
    <row r="20" spans="1:7" ht="15" customHeight="1">
      <c r="A20" s="13" t="s">
        <v>75</v>
      </c>
      <c r="B20" s="16">
        <v>6692.63</v>
      </c>
      <c r="C20" s="16">
        <v>6147.37</v>
      </c>
      <c r="D20" s="16">
        <v>5259.8</v>
      </c>
      <c r="E20" s="16">
        <v>4171.76</v>
      </c>
      <c r="F20" s="16">
        <v>3049.91</v>
      </c>
      <c r="G20" s="16">
        <v>2791</v>
      </c>
    </row>
    <row r="21" spans="1:7" ht="15" customHeight="1">
      <c r="A21" s="13" t="s">
        <v>76</v>
      </c>
      <c r="B21" s="16">
        <v>1337.12</v>
      </c>
      <c r="C21" s="16">
        <v>1219.1500000000001</v>
      </c>
      <c r="D21" s="16">
        <v>894.11</v>
      </c>
      <c r="E21" s="16">
        <v>549.01</v>
      </c>
      <c r="F21" s="16">
        <v>398.79</v>
      </c>
      <c r="G21" s="16">
        <v>254.53</v>
      </c>
    </row>
    <row r="22" spans="1:7" ht="15" customHeight="1">
      <c r="A22" s="13" t="s">
        <v>74</v>
      </c>
      <c r="B22" s="16">
        <v>2558.38</v>
      </c>
      <c r="C22" s="16">
        <v>2252.75</v>
      </c>
      <c r="D22" s="16">
        <v>1956.6</v>
      </c>
      <c r="E22" s="16">
        <v>1535.85</v>
      </c>
      <c r="F22" s="16">
        <v>953.18</v>
      </c>
      <c r="G22" s="16">
        <v>933.77</v>
      </c>
    </row>
  </sheetData>
  <mergeCells count="30">
    <mergeCell ref="G12"/>
    <mergeCell ref="G13"/>
    <mergeCell ref="G14"/>
    <mergeCell ref="G15"/>
    <mergeCell ref="E15"/>
    <mergeCell ref="F12"/>
    <mergeCell ref="F13"/>
    <mergeCell ref="F14"/>
    <mergeCell ref="F15"/>
    <mergeCell ref="G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55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78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45922.395209872702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57</v>
      </c>
      <c r="C15" s="116" t="s">
        <v>57</v>
      </c>
      <c r="D15" s="116" t="s">
        <v>57</v>
      </c>
      <c r="E15" s="116" t="s">
        <v>57</v>
      </c>
      <c r="F15" s="116" t="s">
        <v>57</v>
      </c>
      <c r="G15" s="116" t="s">
        <v>57</v>
      </c>
      <c r="H15" s="116" t="s">
        <v>57</v>
      </c>
    </row>
    <row r="17" spans="1:8">
      <c r="A17" s="8" t="s">
        <v>79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80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81</v>
      </c>
      <c r="B20" s="15">
        <v>10588.13</v>
      </c>
      <c r="C20" s="16">
        <v>9619.2800000000007</v>
      </c>
      <c r="D20" s="16">
        <v>8110.52</v>
      </c>
      <c r="E20" s="16">
        <v>6256.62</v>
      </c>
      <c r="F20" s="16">
        <v>4401.88</v>
      </c>
      <c r="G20" s="16">
        <v>3979.3</v>
      </c>
      <c r="H20" s="16">
        <v>3288.32</v>
      </c>
    </row>
    <row r="21" spans="1:8" ht="15" customHeight="1">
      <c r="A21" s="13" t="s">
        <v>82</v>
      </c>
      <c r="B21" s="15">
        <v>10588.13</v>
      </c>
      <c r="C21" s="16">
        <v>9619.2800000000007</v>
      </c>
      <c r="D21" s="16">
        <v>8110.52</v>
      </c>
      <c r="E21" s="16">
        <v>6256.62</v>
      </c>
      <c r="F21" s="16">
        <v>4401.88</v>
      </c>
      <c r="G21" s="16">
        <v>3979.3</v>
      </c>
      <c r="H21" s="16">
        <v>3288.32</v>
      </c>
    </row>
    <row r="22" spans="1:8" ht="15" customHeight="1">
      <c r="A22" s="25" t="s">
        <v>83</v>
      </c>
      <c r="B22" s="26">
        <v>10588.13</v>
      </c>
      <c r="C22" s="27">
        <v>9619.2800000000007</v>
      </c>
      <c r="D22" s="27">
        <v>8110.52</v>
      </c>
      <c r="E22" s="27">
        <v>6256.62</v>
      </c>
      <c r="F22" s="27">
        <v>4401.88</v>
      </c>
      <c r="G22" s="27">
        <v>3979.3</v>
      </c>
      <c r="H22" s="27">
        <v>3288.32</v>
      </c>
    </row>
    <row r="23" spans="1:8" ht="15" customHeight="1">
      <c r="A23" s="23" t="s">
        <v>84</v>
      </c>
      <c r="B23" s="24"/>
      <c r="C23" s="24"/>
      <c r="D23" s="24"/>
      <c r="E23" s="24"/>
      <c r="F23" s="24"/>
      <c r="G23" s="24"/>
      <c r="H23" s="24"/>
    </row>
    <row r="24" spans="1:8" ht="15" customHeight="1">
      <c r="A24" s="22" t="s">
        <v>85</v>
      </c>
      <c r="B24" s="16">
        <v>4320.05</v>
      </c>
      <c r="C24" s="16">
        <v>4014.88</v>
      </c>
      <c r="D24" s="16">
        <v>3626.93</v>
      </c>
      <c r="E24" s="16">
        <v>2656.83</v>
      </c>
      <c r="F24" s="16">
        <v>1943.05</v>
      </c>
      <c r="G24" s="16">
        <v>1755.91</v>
      </c>
      <c r="H24" s="16">
        <v>1472.03</v>
      </c>
    </row>
    <row r="25" spans="1:8" ht="15" customHeight="1">
      <c r="A25" s="13" t="s">
        <v>86</v>
      </c>
      <c r="B25" s="16">
        <v>4320.05</v>
      </c>
      <c r="C25" s="16">
        <v>4014.88</v>
      </c>
      <c r="D25" s="16">
        <v>3626.93</v>
      </c>
      <c r="E25" s="16">
        <v>2656.83</v>
      </c>
      <c r="F25" s="16">
        <v>1943.05</v>
      </c>
      <c r="G25" s="16">
        <v>1755.91</v>
      </c>
      <c r="H25" s="16">
        <v>1472.03</v>
      </c>
    </row>
    <row r="26" spans="1:8" ht="15" customHeight="1">
      <c r="A26" s="28" t="s">
        <v>87</v>
      </c>
      <c r="B26" s="16">
        <v>4317.3100000000004</v>
      </c>
      <c r="C26" s="16">
        <v>4009.87</v>
      </c>
      <c r="D26" s="16">
        <v>3618.18</v>
      </c>
      <c r="E26" s="16">
        <v>2648.05</v>
      </c>
      <c r="F26" s="16">
        <v>1937.89</v>
      </c>
      <c r="G26" s="15"/>
      <c r="H26" s="15"/>
    </row>
    <row r="27" spans="1:8" ht="15" customHeight="1">
      <c r="A27" s="28" t="s">
        <v>88</v>
      </c>
      <c r="B27" s="17">
        <v>2.74</v>
      </c>
      <c r="C27" s="17">
        <v>5.01</v>
      </c>
      <c r="D27" s="17">
        <v>8.75</v>
      </c>
      <c r="E27" s="17">
        <v>8.7799999999999994</v>
      </c>
      <c r="F27" s="17">
        <v>5.16</v>
      </c>
      <c r="G27" s="15"/>
      <c r="H27" s="15"/>
    </row>
    <row r="28" spans="1:8" ht="15" customHeight="1">
      <c r="A28" s="25" t="s">
        <v>89</v>
      </c>
      <c r="B28" s="27">
        <v>6268.08</v>
      </c>
      <c r="C28" s="27">
        <v>5604.4</v>
      </c>
      <c r="D28" s="27">
        <v>4483.59</v>
      </c>
      <c r="E28" s="27">
        <v>3599.78</v>
      </c>
      <c r="F28" s="27">
        <v>2458.83</v>
      </c>
      <c r="G28" s="27">
        <v>2223.39</v>
      </c>
      <c r="H28" s="27">
        <v>1816.29</v>
      </c>
    </row>
    <row r="29" spans="1:8" ht="15" customHeight="1">
      <c r="A29" s="22" t="s">
        <v>90</v>
      </c>
      <c r="B29" s="16">
        <v>3758.88</v>
      </c>
      <c r="C29" s="16">
        <v>3397.22</v>
      </c>
      <c r="D29" s="16">
        <v>2757.45</v>
      </c>
      <c r="E29" s="16">
        <v>2225.0300000000002</v>
      </c>
      <c r="F29" s="16">
        <v>1609</v>
      </c>
      <c r="G29" s="16">
        <v>1332.77</v>
      </c>
      <c r="H29" s="16">
        <v>1111.8399999999999</v>
      </c>
    </row>
    <row r="30" spans="1:8" ht="15" customHeight="1">
      <c r="A30" s="13" t="s">
        <v>91</v>
      </c>
      <c r="B30" s="16">
        <v>3217.38</v>
      </c>
      <c r="C30" s="15"/>
      <c r="D30" s="15"/>
      <c r="E30" s="15"/>
      <c r="F30" s="15"/>
      <c r="G30" s="15"/>
      <c r="H30" s="15"/>
    </row>
    <row r="31" spans="1:8" ht="15" customHeight="1">
      <c r="A31" s="13" t="s">
        <v>92</v>
      </c>
      <c r="B31" s="16">
        <v>541.5</v>
      </c>
      <c r="C31" s="15"/>
      <c r="D31" s="15"/>
      <c r="E31" s="15"/>
      <c r="F31" s="15"/>
      <c r="G31" s="15"/>
      <c r="H31" s="15"/>
    </row>
    <row r="32" spans="1:8" ht="15" customHeight="1">
      <c r="A32" s="28" t="s">
        <v>93</v>
      </c>
      <c r="B32" s="16">
        <v>541.5</v>
      </c>
      <c r="C32" s="15"/>
      <c r="D32" s="15"/>
      <c r="E32" s="15"/>
      <c r="F32" s="15"/>
      <c r="G32" s="15"/>
      <c r="H32" s="15"/>
    </row>
    <row r="33" spans="1:8" ht="15" customHeight="1">
      <c r="A33" s="22" t="s">
        <v>94</v>
      </c>
      <c r="B33" s="16">
        <v>8078.93</v>
      </c>
      <c r="C33" s="16">
        <v>7412.1</v>
      </c>
      <c r="D33" s="16">
        <v>6384.38</v>
      </c>
      <c r="E33" s="16">
        <v>4881.87</v>
      </c>
      <c r="F33" s="16">
        <v>3552.05</v>
      </c>
      <c r="G33" s="16">
        <v>3088.68</v>
      </c>
      <c r="H33" s="16">
        <v>2583.88</v>
      </c>
    </row>
    <row r="34" spans="1:8" ht="15" customHeight="1">
      <c r="A34" s="23" t="s">
        <v>95</v>
      </c>
      <c r="B34" s="24"/>
      <c r="C34" s="24"/>
      <c r="D34" s="24"/>
      <c r="E34" s="24"/>
      <c r="F34" s="24"/>
      <c r="G34" s="24"/>
      <c r="H34" s="24"/>
    </row>
    <row r="35" spans="1:8" ht="15" customHeight="1">
      <c r="A35" s="25" t="s">
        <v>96</v>
      </c>
      <c r="B35" s="27">
        <v>2509.1999999999998</v>
      </c>
      <c r="C35" s="27">
        <v>2207.1799999999998</v>
      </c>
      <c r="D35" s="27">
        <v>1726.14</v>
      </c>
      <c r="E35" s="27">
        <v>1374.75</v>
      </c>
      <c r="F35" s="27">
        <v>849.83</v>
      </c>
      <c r="G35" s="27">
        <v>890.62</v>
      </c>
      <c r="H35" s="27">
        <v>704.44</v>
      </c>
    </row>
    <row r="36" spans="1:8" ht="15" customHeight="1">
      <c r="A36" s="23" t="s">
        <v>97</v>
      </c>
      <c r="B36" s="24"/>
      <c r="C36" s="24"/>
      <c r="D36" s="24"/>
      <c r="E36" s="24"/>
      <c r="F36" s="24"/>
      <c r="G36" s="24"/>
      <c r="H36" s="24"/>
    </row>
    <row r="37" spans="1:8" ht="15" customHeight="1">
      <c r="A37" s="22" t="s">
        <v>98</v>
      </c>
      <c r="B37" s="15"/>
      <c r="C37" s="15"/>
      <c r="D37" s="15"/>
      <c r="E37" s="15"/>
      <c r="F37" s="15"/>
      <c r="G37" s="15"/>
      <c r="H37" s="15"/>
    </row>
    <row r="38" spans="1:8" ht="15" customHeight="1">
      <c r="A38" s="13" t="s">
        <v>99</v>
      </c>
      <c r="B38" s="15"/>
      <c r="C38" s="15"/>
      <c r="D38" s="21">
        <v>-67.900000000000006</v>
      </c>
      <c r="E38" s="21">
        <v>-35.799999999999997</v>
      </c>
      <c r="F38" s="21">
        <v>-23.5</v>
      </c>
      <c r="G38" s="21">
        <v>-0.02</v>
      </c>
      <c r="H38" s="21">
        <v>-0.01</v>
      </c>
    </row>
    <row r="39" spans="1:8" ht="15" customHeight="1">
      <c r="A39" s="28" t="s">
        <v>100</v>
      </c>
      <c r="B39" s="15"/>
      <c r="C39" s="15"/>
      <c r="D39" s="21">
        <v>-67.900000000000006</v>
      </c>
      <c r="E39" s="21">
        <v>-35.799999999999997</v>
      </c>
      <c r="F39" s="21">
        <v>-23.5</v>
      </c>
      <c r="G39" s="21">
        <v>-0.02</v>
      </c>
      <c r="H39" s="21">
        <v>-0.01</v>
      </c>
    </row>
    <row r="40" spans="1:8" ht="15" customHeight="1">
      <c r="A40" s="29" t="s">
        <v>101</v>
      </c>
      <c r="B40" s="15"/>
      <c r="C40" s="15"/>
      <c r="D40" s="17">
        <v>67.900000000000006</v>
      </c>
      <c r="E40" s="17">
        <v>35.799999999999997</v>
      </c>
      <c r="F40" s="17">
        <v>23.5</v>
      </c>
      <c r="G40" s="17">
        <v>0.02</v>
      </c>
      <c r="H40" s="17">
        <v>0.01</v>
      </c>
    </row>
    <row r="41" spans="1:8" ht="15" customHeight="1">
      <c r="A41" s="13" t="s">
        <v>102</v>
      </c>
      <c r="B41" s="15"/>
      <c r="C41" s="15"/>
      <c r="D41" s="21">
        <v>-67.900000000000006</v>
      </c>
      <c r="E41" s="21">
        <v>-35.799999999999997</v>
      </c>
      <c r="F41" s="21">
        <v>-23.5</v>
      </c>
      <c r="G41" s="21">
        <v>-0.02</v>
      </c>
      <c r="H41" s="21">
        <v>-0.01</v>
      </c>
    </row>
    <row r="42" spans="1:8" ht="15" customHeight="1">
      <c r="A42" s="28" t="s">
        <v>103</v>
      </c>
      <c r="B42" s="15"/>
      <c r="C42" s="15"/>
      <c r="D42" s="21">
        <v>-67.900000000000006</v>
      </c>
      <c r="E42" s="21">
        <v>-35.799999999999997</v>
      </c>
      <c r="F42" s="21">
        <v>-23.5</v>
      </c>
      <c r="G42" s="21">
        <v>-0.02</v>
      </c>
      <c r="H42" s="21">
        <v>-0.01</v>
      </c>
    </row>
    <row r="43" spans="1:8" ht="15" customHeight="1">
      <c r="A43" s="22" t="s">
        <v>104</v>
      </c>
      <c r="B43" s="15"/>
      <c r="C43" s="15"/>
      <c r="D43" s="17">
        <v>10.18</v>
      </c>
      <c r="E43" s="15"/>
      <c r="F43" s="15"/>
      <c r="G43" s="15"/>
      <c r="H43" s="15"/>
    </row>
    <row r="44" spans="1:8" ht="15" customHeight="1">
      <c r="A44" s="22" t="s">
        <v>105</v>
      </c>
      <c r="B44" s="17">
        <v>70.38</v>
      </c>
      <c r="C44" s="17">
        <v>43.06</v>
      </c>
      <c r="D44" s="17">
        <v>4.16</v>
      </c>
      <c r="E44" s="17">
        <v>0.51</v>
      </c>
      <c r="F44" s="21">
        <v>-0.64</v>
      </c>
      <c r="G44" s="17">
        <v>8.2799999999999994</v>
      </c>
      <c r="H44" s="17">
        <v>9.41</v>
      </c>
    </row>
    <row r="45" spans="1:8" ht="15" customHeight="1">
      <c r="A45" s="22" t="s">
        <v>106</v>
      </c>
      <c r="B45" s="16">
        <v>2579.58</v>
      </c>
      <c r="C45" s="16">
        <v>2250.2399999999998</v>
      </c>
      <c r="D45" s="16">
        <v>1740.48</v>
      </c>
      <c r="E45" s="16">
        <v>1375.26</v>
      </c>
      <c r="F45" s="16">
        <v>849.19</v>
      </c>
      <c r="G45" s="16">
        <v>898.9</v>
      </c>
      <c r="H45" s="16">
        <v>713.86</v>
      </c>
    </row>
    <row r="46" spans="1:8" ht="15" customHeight="1">
      <c r="A46" s="23" t="s">
        <v>107</v>
      </c>
      <c r="B46" s="24"/>
      <c r="C46" s="24"/>
      <c r="D46" s="24"/>
      <c r="E46" s="24"/>
      <c r="F46" s="24"/>
      <c r="G46" s="24"/>
      <c r="H46" s="24"/>
    </row>
    <row r="47" spans="1:8" ht="15" customHeight="1">
      <c r="A47" s="22" t="s">
        <v>108</v>
      </c>
      <c r="B47" s="21">
        <v>-3.5</v>
      </c>
      <c r="C47" s="21">
        <v>-74.5</v>
      </c>
      <c r="D47" s="18">
        <v>-407.91</v>
      </c>
      <c r="E47" s="21">
        <v>-41.39</v>
      </c>
      <c r="F47" s="21">
        <v>-29.84</v>
      </c>
      <c r="G47" s="21">
        <v>-1.51</v>
      </c>
      <c r="H47" s="17">
        <v>1.39</v>
      </c>
    </row>
    <row r="48" spans="1:8" ht="15" customHeight="1">
      <c r="A48" s="13" t="s">
        <v>109</v>
      </c>
      <c r="B48" s="15"/>
      <c r="C48" s="17">
        <v>44.19</v>
      </c>
      <c r="D48" s="16">
        <v>407.91</v>
      </c>
      <c r="E48" s="15"/>
      <c r="F48" s="15"/>
      <c r="G48" s="15"/>
      <c r="H48" s="15"/>
    </row>
    <row r="49" spans="1:8" ht="15" customHeight="1">
      <c r="A49" s="28" t="s">
        <v>110</v>
      </c>
      <c r="B49" s="15"/>
      <c r="C49" s="17">
        <v>11.16</v>
      </c>
      <c r="D49" s="16">
        <v>407.91</v>
      </c>
      <c r="E49" s="15"/>
      <c r="F49" s="15"/>
      <c r="G49" s="15"/>
      <c r="H49" s="15"/>
    </row>
    <row r="50" spans="1:8" ht="15" customHeight="1">
      <c r="A50" s="28" t="s">
        <v>111</v>
      </c>
      <c r="B50" s="15"/>
      <c r="C50" s="17">
        <v>33.03</v>
      </c>
      <c r="D50" s="15"/>
      <c r="E50" s="15"/>
      <c r="F50" s="15"/>
      <c r="G50" s="15"/>
      <c r="H50" s="15"/>
    </row>
    <row r="51" spans="1:8" ht="15" customHeight="1">
      <c r="A51" s="13" t="s">
        <v>112</v>
      </c>
      <c r="B51" s="15"/>
      <c r="C51" s="17">
        <v>30.32</v>
      </c>
      <c r="D51" s="15"/>
      <c r="E51" s="15"/>
      <c r="F51" s="15"/>
      <c r="G51" s="15"/>
      <c r="H51" s="15"/>
    </row>
    <row r="52" spans="1:8" ht="15" customHeight="1">
      <c r="A52" s="13" t="s">
        <v>113</v>
      </c>
      <c r="B52" s="15"/>
      <c r="C52" s="15"/>
      <c r="D52" s="15"/>
      <c r="E52" s="15"/>
      <c r="F52" s="15"/>
      <c r="G52" s="21">
        <v>-1.51</v>
      </c>
      <c r="H52" s="17">
        <v>1.39</v>
      </c>
    </row>
    <row r="53" spans="1:8" ht="15" customHeight="1">
      <c r="A53" s="13" t="s">
        <v>114</v>
      </c>
      <c r="B53" s="21">
        <v>-3.5</v>
      </c>
      <c r="C53" s="15"/>
      <c r="D53" s="15"/>
      <c r="E53" s="21">
        <v>-41.39</v>
      </c>
      <c r="F53" s="21">
        <v>-29.84</v>
      </c>
      <c r="G53" s="15"/>
      <c r="H53" s="15"/>
    </row>
    <row r="54" spans="1:8" ht="15" customHeight="1">
      <c r="A54" s="23" t="s">
        <v>115</v>
      </c>
      <c r="B54" s="24"/>
      <c r="C54" s="24"/>
      <c r="D54" s="24"/>
      <c r="E54" s="24"/>
      <c r="F54" s="24"/>
      <c r="G54" s="24"/>
      <c r="H54" s="24"/>
    </row>
    <row r="55" spans="1:8" ht="15" customHeight="1">
      <c r="A55" s="25" t="s">
        <v>116</v>
      </c>
      <c r="B55" s="27">
        <v>2576.08</v>
      </c>
      <c r="C55" s="27">
        <v>2175.7399999999998</v>
      </c>
      <c r="D55" s="27">
        <v>1332.57</v>
      </c>
      <c r="E55" s="27">
        <v>1333.87</v>
      </c>
      <c r="F55" s="27">
        <v>819.35</v>
      </c>
      <c r="G55" s="27">
        <v>897.39</v>
      </c>
      <c r="H55" s="27">
        <v>715.25</v>
      </c>
    </row>
    <row r="56" spans="1:8" ht="15" customHeight="1">
      <c r="A56" s="23" t="s">
        <v>117</v>
      </c>
      <c r="B56" s="24"/>
      <c r="C56" s="24"/>
      <c r="D56" s="24"/>
      <c r="E56" s="24"/>
      <c r="F56" s="24"/>
      <c r="G56" s="24"/>
      <c r="H56" s="24"/>
    </row>
    <row r="57" spans="1:8" ht="15" customHeight="1">
      <c r="A57" s="22" t="s">
        <v>118</v>
      </c>
      <c r="B57" s="16">
        <v>761.46</v>
      </c>
      <c r="C57" s="16">
        <v>625.54</v>
      </c>
      <c r="D57" s="16">
        <v>477.77</v>
      </c>
      <c r="E57" s="16">
        <v>358.55</v>
      </c>
      <c r="F57" s="16">
        <v>230.44</v>
      </c>
      <c r="G57" s="16">
        <v>251.8</v>
      </c>
      <c r="H57" s="16">
        <v>223.99</v>
      </c>
    </row>
    <row r="58" spans="1:8" ht="15" customHeight="1">
      <c r="A58" s="13" t="s">
        <v>119</v>
      </c>
      <c r="B58" s="16">
        <v>703.08</v>
      </c>
      <c r="C58" s="16">
        <v>652.29</v>
      </c>
      <c r="D58" s="16">
        <v>468.37</v>
      </c>
      <c r="E58" s="16">
        <v>365.41</v>
      </c>
      <c r="F58" s="16">
        <v>196.31</v>
      </c>
      <c r="G58" s="16">
        <v>227.4</v>
      </c>
      <c r="H58" s="16">
        <v>205.03</v>
      </c>
    </row>
    <row r="59" spans="1:8" ht="15" customHeight="1">
      <c r="A59" s="28" t="s">
        <v>120</v>
      </c>
      <c r="B59" s="16">
        <v>118.83</v>
      </c>
      <c r="C59" s="16">
        <v>183.2</v>
      </c>
      <c r="D59" s="17">
        <v>68.12</v>
      </c>
      <c r="E59" s="17">
        <v>43.31</v>
      </c>
      <c r="F59" s="17">
        <v>10.51</v>
      </c>
      <c r="G59" s="17">
        <v>57.25</v>
      </c>
      <c r="H59" s="17">
        <v>81.900000000000006</v>
      </c>
    </row>
    <row r="60" spans="1:8" ht="15" customHeight="1">
      <c r="A60" s="28" t="s">
        <v>121</v>
      </c>
      <c r="B60" s="16">
        <v>584.25</v>
      </c>
      <c r="C60" s="16">
        <v>469.09</v>
      </c>
      <c r="D60" s="16">
        <v>400.25</v>
      </c>
      <c r="E60" s="16">
        <v>322.11</v>
      </c>
      <c r="F60" s="16">
        <v>185.8</v>
      </c>
      <c r="G60" s="16">
        <v>170.16</v>
      </c>
      <c r="H60" s="16">
        <v>123.13</v>
      </c>
    </row>
    <row r="61" spans="1:8" ht="15" customHeight="1">
      <c r="A61" s="13" t="s">
        <v>122</v>
      </c>
      <c r="B61" s="17">
        <v>58.38</v>
      </c>
      <c r="C61" s="21">
        <v>-26.75</v>
      </c>
      <c r="D61" s="17">
        <v>9.4</v>
      </c>
      <c r="E61" s="21">
        <v>-6.87</v>
      </c>
      <c r="F61" s="17">
        <v>34.130000000000003</v>
      </c>
      <c r="G61" s="17">
        <v>24.39</v>
      </c>
      <c r="H61" s="17">
        <v>18.95</v>
      </c>
    </row>
    <row r="62" spans="1:8" ht="15" customHeight="1">
      <c r="A62" s="28" t="s">
        <v>123</v>
      </c>
      <c r="B62" s="17">
        <v>75.430000000000007</v>
      </c>
      <c r="C62" s="21">
        <v>-17.84</v>
      </c>
      <c r="D62" s="17">
        <v>11.3</v>
      </c>
      <c r="E62" s="17">
        <v>6.9</v>
      </c>
      <c r="F62" s="17">
        <v>25.68</v>
      </c>
      <c r="G62" s="21">
        <v>-5.83</v>
      </c>
      <c r="H62" s="21">
        <v>-21.63</v>
      </c>
    </row>
    <row r="63" spans="1:8" ht="15" customHeight="1">
      <c r="A63" s="28" t="s">
        <v>124</v>
      </c>
      <c r="B63" s="21">
        <v>-17.05</v>
      </c>
      <c r="C63" s="21">
        <v>-8.91</v>
      </c>
      <c r="D63" s="21">
        <v>-1.89</v>
      </c>
      <c r="E63" s="21">
        <v>-13.77</v>
      </c>
      <c r="F63" s="17">
        <v>8.4499999999999993</v>
      </c>
      <c r="G63" s="17">
        <v>30.23</v>
      </c>
      <c r="H63" s="17">
        <v>40.590000000000003</v>
      </c>
    </row>
    <row r="64" spans="1:8" ht="15" customHeight="1">
      <c r="A64" s="23" t="s">
        <v>125</v>
      </c>
      <c r="B64" s="24"/>
      <c r="C64" s="24"/>
      <c r="D64" s="24"/>
      <c r="E64" s="24"/>
      <c r="F64" s="24"/>
      <c r="G64" s="24"/>
      <c r="H64" s="24"/>
    </row>
    <row r="65" spans="1:8" ht="15" customHeight="1">
      <c r="A65" s="22" t="s">
        <v>126</v>
      </c>
      <c r="B65" s="16">
        <v>1814.62</v>
      </c>
      <c r="C65" s="16">
        <v>1550.19</v>
      </c>
      <c r="D65" s="16">
        <v>854.8</v>
      </c>
      <c r="E65" s="16">
        <v>975.32</v>
      </c>
      <c r="F65" s="16">
        <v>588.91</v>
      </c>
      <c r="G65" s="16">
        <v>645.6</v>
      </c>
      <c r="H65" s="16">
        <v>491.27</v>
      </c>
    </row>
    <row r="66" spans="1:8" ht="15" customHeight="1">
      <c r="A66" s="23" t="s">
        <v>127</v>
      </c>
      <c r="B66" s="24"/>
      <c r="C66" s="24"/>
      <c r="D66" s="24"/>
      <c r="E66" s="24"/>
      <c r="F66" s="24"/>
      <c r="G66" s="24"/>
      <c r="H66" s="24"/>
    </row>
    <row r="67" spans="1:8" ht="15" customHeight="1">
      <c r="A67" s="25" t="s">
        <v>128</v>
      </c>
      <c r="B67" s="27">
        <v>1814.62</v>
      </c>
      <c r="C67" s="27">
        <v>1550.19</v>
      </c>
      <c r="D67" s="27">
        <v>854.8</v>
      </c>
      <c r="E67" s="27">
        <v>975.32</v>
      </c>
      <c r="F67" s="27">
        <v>588.91</v>
      </c>
      <c r="G67" s="27">
        <v>645.6</v>
      </c>
      <c r="H67" s="27">
        <v>491.27</v>
      </c>
    </row>
    <row r="68" spans="1:8" ht="15" customHeight="1">
      <c r="A68" s="22" t="s">
        <v>129</v>
      </c>
      <c r="B68" s="15"/>
      <c r="C68" s="15"/>
      <c r="D68" s="15"/>
      <c r="E68" s="15"/>
      <c r="F68" s="15"/>
      <c r="G68" s="15"/>
      <c r="H68" s="21">
        <v>-7.46</v>
      </c>
    </row>
    <row r="69" spans="1:8" ht="15" customHeight="1">
      <c r="A69" s="13" t="s">
        <v>130</v>
      </c>
      <c r="B69" s="15"/>
      <c r="C69" s="15"/>
      <c r="D69" s="15"/>
      <c r="E69" s="15"/>
      <c r="F69" s="15"/>
      <c r="G69" s="15"/>
      <c r="H69" s="21">
        <v>-7.46</v>
      </c>
    </row>
    <row r="70" spans="1:8" ht="15" customHeight="1">
      <c r="A70" s="22" t="s">
        <v>131</v>
      </c>
      <c r="B70" s="16">
        <v>1814.62</v>
      </c>
      <c r="C70" s="16">
        <v>1550.19</v>
      </c>
      <c r="D70" s="16">
        <v>854.8</v>
      </c>
      <c r="E70" s="16">
        <v>975.32</v>
      </c>
      <c r="F70" s="16">
        <v>588.91</v>
      </c>
      <c r="G70" s="16">
        <v>645.6</v>
      </c>
      <c r="H70" s="16">
        <v>483.8</v>
      </c>
    </row>
    <row r="71" spans="1:8" ht="15" customHeight="1">
      <c r="A71" s="22" t="s">
        <v>132</v>
      </c>
      <c r="B71" s="16">
        <v>1814.62</v>
      </c>
      <c r="C71" s="16">
        <v>1550.19</v>
      </c>
      <c r="D71" s="16">
        <v>854.8</v>
      </c>
      <c r="E71" s="16">
        <v>975.32</v>
      </c>
      <c r="F71" s="16">
        <v>588.91</v>
      </c>
      <c r="G71" s="16">
        <v>645.6</v>
      </c>
      <c r="H71" s="16">
        <v>483.8</v>
      </c>
    </row>
    <row r="72" spans="1:8" ht="15" customHeight="1">
      <c r="A72" s="23" t="s">
        <v>133</v>
      </c>
      <c r="B72" s="24"/>
      <c r="C72" s="24"/>
      <c r="D72" s="24"/>
      <c r="E72" s="24"/>
      <c r="F72" s="24"/>
      <c r="G72" s="24"/>
      <c r="H72" s="24"/>
    </row>
    <row r="73" spans="1:8" ht="15" customHeight="1">
      <c r="A73" s="25" t="s">
        <v>134</v>
      </c>
      <c r="B73" s="27">
        <v>1814.62</v>
      </c>
      <c r="C73" s="27">
        <v>1550.19</v>
      </c>
      <c r="D73" s="27">
        <v>854.8</v>
      </c>
      <c r="E73" s="27">
        <v>975.32</v>
      </c>
      <c r="F73" s="27">
        <v>588.91</v>
      </c>
      <c r="G73" s="27">
        <v>645.6</v>
      </c>
      <c r="H73" s="27">
        <v>483.8</v>
      </c>
    </row>
    <row r="74" spans="1:8" ht="15" customHeight="1">
      <c r="A74" s="23" t="s">
        <v>135</v>
      </c>
      <c r="B74" s="24"/>
      <c r="C74" s="24"/>
      <c r="D74" s="24"/>
      <c r="E74" s="24"/>
      <c r="F74" s="24"/>
      <c r="G74" s="24"/>
      <c r="H74" s="24"/>
    </row>
    <row r="75" spans="1:8" ht="15" customHeight="1">
      <c r="A75" s="22" t="s">
        <v>136</v>
      </c>
      <c r="B75" s="16">
        <v>1814.62</v>
      </c>
      <c r="C75" s="16">
        <v>1550.19</v>
      </c>
      <c r="D75" s="16">
        <v>854.8</v>
      </c>
      <c r="E75" s="16">
        <v>975.32</v>
      </c>
      <c r="F75" s="16">
        <v>588.91</v>
      </c>
      <c r="G75" s="16">
        <v>645.6</v>
      </c>
      <c r="H75" s="16">
        <v>483.8</v>
      </c>
    </row>
    <row r="76" spans="1:8" ht="15" customHeight="1">
      <c r="A76" s="22" t="s">
        <v>137</v>
      </c>
      <c r="B76" s="18">
        <v>-253.21</v>
      </c>
      <c r="C76" s="21">
        <v>-23.08</v>
      </c>
      <c r="D76" s="21">
        <v>-65.569999999999993</v>
      </c>
      <c r="E76" s="21">
        <v>-28.49</v>
      </c>
      <c r="F76" s="17">
        <v>47.43</v>
      </c>
      <c r="G76" s="21">
        <v>-7.77</v>
      </c>
      <c r="H76" s="21">
        <v>-73.89</v>
      </c>
    </row>
    <row r="77" spans="1:8" ht="15" customHeight="1">
      <c r="A77" s="22" t="s">
        <v>138</v>
      </c>
      <c r="B77" s="17">
        <v>93.02</v>
      </c>
      <c r="C77" s="17">
        <v>11.41</v>
      </c>
      <c r="D77" s="17">
        <v>8.9</v>
      </c>
      <c r="E77" s="17">
        <v>9.73</v>
      </c>
      <c r="F77" s="15"/>
      <c r="G77" s="15"/>
      <c r="H77" s="15"/>
    </row>
    <row r="78" spans="1:8" ht="15" customHeight="1">
      <c r="A78" s="22" t="s">
        <v>139</v>
      </c>
      <c r="B78" s="18">
        <v>-160.18</v>
      </c>
      <c r="C78" s="21">
        <v>-11.67</v>
      </c>
      <c r="D78" s="21">
        <v>-56.67</v>
      </c>
      <c r="E78" s="21">
        <v>-18.760000000000002</v>
      </c>
      <c r="F78" s="17">
        <v>47.43</v>
      </c>
      <c r="G78" s="21">
        <v>-7.77</v>
      </c>
      <c r="H78" s="21">
        <v>-73.89</v>
      </c>
    </row>
    <row r="79" spans="1:8" ht="15" customHeight="1">
      <c r="A79" s="25" t="s">
        <v>140</v>
      </c>
      <c r="B79" s="27">
        <v>1654.43</v>
      </c>
      <c r="C79" s="27">
        <v>1538.52</v>
      </c>
      <c r="D79" s="27">
        <v>798.13</v>
      </c>
      <c r="E79" s="27">
        <v>956.56</v>
      </c>
      <c r="F79" s="27">
        <v>636.34</v>
      </c>
      <c r="G79" s="27">
        <v>637.82000000000005</v>
      </c>
      <c r="H79" s="27">
        <v>409.92</v>
      </c>
    </row>
    <row r="80" spans="1:8" ht="15" customHeight="1">
      <c r="A80" s="22" t="s">
        <v>141</v>
      </c>
      <c r="B80" s="16">
        <v>1654.43</v>
      </c>
      <c r="C80" s="16">
        <v>1538.52</v>
      </c>
      <c r="D80" s="16">
        <v>798.13</v>
      </c>
      <c r="E80" s="16">
        <v>956.56</v>
      </c>
      <c r="F80" s="16">
        <v>636.34</v>
      </c>
      <c r="G80" s="16">
        <v>637.82000000000005</v>
      </c>
      <c r="H80" s="16">
        <v>409.92</v>
      </c>
    </row>
    <row r="81" spans="1:8" ht="15" customHeight="1">
      <c r="A81" s="23" t="s">
        <v>142</v>
      </c>
      <c r="B81" s="24"/>
      <c r="C81" s="24"/>
      <c r="D81" s="24"/>
      <c r="E81" s="24"/>
      <c r="F81" s="24"/>
      <c r="G81" s="24"/>
      <c r="H81" s="24"/>
    </row>
    <row r="82" spans="1:8" ht="15" customHeight="1">
      <c r="A82" s="22" t="s">
        <v>143</v>
      </c>
      <c r="B82" s="16">
        <v>1814.62</v>
      </c>
      <c r="C82" s="16">
        <v>1550.19</v>
      </c>
      <c r="D82" s="16">
        <v>854.8</v>
      </c>
      <c r="E82" s="16">
        <v>975.32</v>
      </c>
      <c r="F82" s="16">
        <v>588.91</v>
      </c>
      <c r="G82" s="16">
        <v>645.6</v>
      </c>
      <c r="H82" s="16">
        <v>483.8</v>
      </c>
    </row>
    <row r="83" spans="1:8" ht="15" customHeight="1">
      <c r="A83" s="13" t="s">
        <v>144</v>
      </c>
      <c r="B83" s="16">
        <v>1814.62</v>
      </c>
      <c r="C83" s="16">
        <v>1550.19</v>
      </c>
      <c r="D83" s="16">
        <v>854.8</v>
      </c>
      <c r="E83" s="16">
        <v>975.32</v>
      </c>
      <c r="F83" s="16">
        <v>588.91</v>
      </c>
      <c r="G83" s="16">
        <v>645.6</v>
      </c>
      <c r="H83" s="16">
        <v>491.27</v>
      </c>
    </row>
    <row r="84" spans="1:8" ht="15" customHeight="1">
      <c r="A84" s="13" t="s">
        <v>145</v>
      </c>
      <c r="B84" s="16">
        <v>123.74</v>
      </c>
      <c r="C84" s="16">
        <v>126.73</v>
      </c>
      <c r="D84" s="16">
        <v>127.67</v>
      </c>
      <c r="E84" s="16">
        <v>129.77000000000001</v>
      </c>
      <c r="F84" s="16">
        <v>130.29</v>
      </c>
      <c r="G84" s="16">
        <v>130.38999999999999</v>
      </c>
      <c r="H84" s="16">
        <v>133.41</v>
      </c>
    </row>
    <row r="85" spans="1:8" ht="15" customHeight="1">
      <c r="A85" s="28" t="s">
        <v>146</v>
      </c>
      <c r="B85" s="17">
        <v>14.67</v>
      </c>
      <c r="C85" s="17">
        <v>12.23</v>
      </c>
      <c r="D85" s="17">
        <v>6.7</v>
      </c>
      <c r="E85" s="17">
        <v>7.52</v>
      </c>
      <c r="F85" s="17">
        <v>4.5199999999999996</v>
      </c>
      <c r="G85" s="17">
        <v>4.95</v>
      </c>
      <c r="H85" s="17">
        <v>3.63</v>
      </c>
    </row>
    <row r="86" spans="1:8" ht="15" customHeight="1">
      <c r="A86" s="28" t="s">
        <v>147</v>
      </c>
      <c r="B86" s="17">
        <v>14.67</v>
      </c>
      <c r="C86" s="17">
        <v>12.23</v>
      </c>
      <c r="D86" s="17">
        <v>6.7</v>
      </c>
      <c r="E86" s="17">
        <v>7.52</v>
      </c>
      <c r="F86" s="17">
        <v>4.5199999999999996</v>
      </c>
      <c r="G86" s="17">
        <v>4.95</v>
      </c>
      <c r="H86" s="17">
        <v>3.68</v>
      </c>
    </row>
    <row r="87" spans="1:8" ht="15" customHeight="1">
      <c r="A87" s="28" t="s">
        <v>148</v>
      </c>
      <c r="B87" s="17">
        <v>14.69</v>
      </c>
      <c r="C87" s="17">
        <v>12.82</v>
      </c>
      <c r="D87" s="17">
        <v>9.89</v>
      </c>
      <c r="E87" s="17">
        <v>7.83</v>
      </c>
      <c r="F87" s="17">
        <v>4.75</v>
      </c>
      <c r="G87" s="17">
        <v>4.96</v>
      </c>
      <c r="H87" s="17">
        <v>3.67</v>
      </c>
    </row>
    <row r="88" spans="1:8" ht="15" customHeight="1">
      <c r="A88" s="22" t="s">
        <v>149</v>
      </c>
      <c r="B88" s="15"/>
      <c r="C88" s="15"/>
      <c r="D88" s="15"/>
      <c r="E88" s="15"/>
      <c r="F88" s="15"/>
      <c r="G88" s="15"/>
      <c r="H88" s="21">
        <v>-0.06</v>
      </c>
    </row>
    <row r="89" spans="1:8" ht="15" customHeight="1">
      <c r="A89" s="23" t="s">
        <v>150</v>
      </c>
      <c r="B89" s="24"/>
      <c r="C89" s="24"/>
      <c r="D89" s="24"/>
      <c r="E89" s="24"/>
      <c r="F89" s="24"/>
      <c r="G89" s="24"/>
      <c r="H89" s="24"/>
    </row>
    <row r="90" spans="1:8" ht="15" customHeight="1">
      <c r="A90" s="22" t="s">
        <v>151</v>
      </c>
      <c r="B90" s="16">
        <v>1814.62</v>
      </c>
      <c r="C90" s="16">
        <v>1550.19</v>
      </c>
      <c r="D90" s="16">
        <v>854.8</v>
      </c>
      <c r="E90" s="16">
        <v>975.32</v>
      </c>
      <c r="F90" s="16">
        <v>588.91</v>
      </c>
      <c r="G90" s="16">
        <v>645.6</v>
      </c>
      <c r="H90" s="16">
        <v>483.8</v>
      </c>
    </row>
    <row r="91" spans="1:8" ht="15" customHeight="1">
      <c r="A91" s="13" t="s">
        <v>152</v>
      </c>
      <c r="B91" s="16">
        <v>1814.62</v>
      </c>
      <c r="C91" s="16">
        <v>1550.19</v>
      </c>
      <c r="D91" s="16">
        <v>854.8</v>
      </c>
      <c r="E91" s="16">
        <v>975.32</v>
      </c>
      <c r="F91" s="16">
        <v>588.91</v>
      </c>
      <c r="G91" s="16">
        <v>645.6</v>
      </c>
      <c r="H91" s="16">
        <v>491.27</v>
      </c>
    </row>
    <row r="92" spans="1:8" ht="15" customHeight="1">
      <c r="A92" s="13" t="s">
        <v>153</v>
      </c>
      <c r="B92" s="16">
        <v>123.94</v>
      </c>
      <c r="C92" s="16">
        <v>127.06</v>
      </c>
      <c r="D92" s="16">
        <v>128.02000000000001</v>
      </c>
      <c r="E92" s="16">
        <v>130.29</v>
      </c>
      <c r="F92" s="16">
        <v>130.87</v>
      </c>
      <c r="G92" s="16">
        <v>130.96</v>
      </c>
      <c r="H92" s="16">
        <v>133.97</v>
      </c>
    </row>
    <row r="93" spans="1:8" ht="15" customHeight="1">
      <c r="A93" s="28" t="s">
        <v>154</v>
      </c>
      <c r="B93" s="17">
        <v>14.64</v>
      </c>
      <c r="C93" s="17">
        <v>12.2</v>
      </c>
      <c r="D93" s="17">
        <v>6.68</v>
      </c>
      <c r="E93" s="17">
        <v>7.49</v>
      </c>
      <c r="F93" s="17">
        <v>4.5</v>
      </c>
      <c r="G93" s="17">
        <v>4.93</v>
      </c>
      <c r="H93" s="17">
        <v>3.61</v>
      </c>
    </row>
    <row r="94" spans="1:8" ht="15" customHeight="1">
      <c r="A94" s="28" t="s">
        <v>155</v>
      </c>
      <c r="B94" s="17">
        <v>14.64</v>
      </c>
      <c r="C94" s="17">
        <v>12.2</v>
      </c>
      <c r="D94" s="17">
        <v>6.68</v>
      </c>
      <c r="E94" s="17">
        <v>7.49</v>
      </c>
      <c r="F94" s="17">
        <v>4.5</v>
      </c>
      <c r="G94" s="17">
        <v>4.93</v>
      </c>
      <c r="H94" s="17">
        <v>3.67</v>
      </c>
    </row>
    <row r="95" spans="1:8" ht="15" customHeight="1">
      <c r="A95" s="28" t="s">
        <v>156</v>
      </c>
      <c r="B95" s="17">
        <v>14.67</v>
      </c>
      <c r="C95" s="17">
        <v>12.79</v>
      </c>
      <c r="D95" s="17">
        <v>9.86</v>
      </c>
      <c r="E95" s="17">
        <v>7.8</v>
      </c>
      <c r="F95" s="17">
        <v>4.7300000000000004</v>
      </c>
      <c r="G95" s="17">
        <v>4.9400000000000004</v>
      </c>
      <c r="H95" s="17">
        <v>3.66</v>
      </c>
    </row>
    <row r="96" spans="1:8" ht="15" customHeight="1">
      <c r="A96" s="22" t="s">
        <v>157</v>
      </c>
      <c r="B96" s="15"/>
      <c r="C96" s="15"/>
      <c r="D96" s="15"/>
      <c r="E96" s="15"/>
      <c r="F96" s="15"/>
      <c r="G96" s="15"/>
      <c r="H96" s="21">
        <v>-0.06</v>
      </c>
    </row>
    <row r="97" spans="1:8" ht="15" customHeight="1">
      <c r="A97" s="23" t="s">
        <v>158</v>
      </c>
      <c r="B97" s="24"/>
      <c r="C97" s="24"/>
      <c r="D97" s="24"/>
      <c r="E97" s="24"/>
      <c r="F97" s="24"/>
      <c r="G97" s="24"/>
      <c r="H97" s="24"/>
    </row>
    <row r="98" spans="1:8" ht="15" customHeight="1">
      <c r="A98" s="22" t="s">
        <v>159</v>
      </c>
      <c r="B98" s="15"/>
      <c r="C98" s="15"/>
      <c r="D98" s="15"/>
      <c r="E98" s="15"/>
      <c r="F98" s="15"/>
      <c r="G98" s="15"/>
      <c r="H98" s="15"/>
    </row>
    <row r="99" spans="1:8" ht="15" customHeight="1">
      <c r="A99" s="22" t="s">
        <v>159</v>
      </c>
      <c r="B99" s="15"/>
      <c r="C99" s="15"/>
      <c r="D99" s="15"/>
      <c r="E99" s="15"/>
      <c r="F99" s="15"/>
      <c r="G99" s="15"/>
      <c r="H99" s="15"/>
    </row>
    <row r="100" spans="1:8" ht="15" customHeight="1">
      <c r="A100" s="22" t="s">
        <v>159</v>
      </c>
      <c r="B100" s="15"/>
      <c r="C100" s="15"/>
      <c r="D100" s="15"/>
      <c r="E100" s="15"/>
      <c r="F100" s="15"/>
      <c r="G100" s="15"/>
      <c r="H100" s="15"/>
    </row>
    <row r="101" spans="1:8" ht="15" customHeight="1">
      <c r="A101" s="22" t="s">
        <v>160</v>
      </c>
      <c r="B101" s="15"/>
      <c r="C101" s="15"/>
      <c r="D101" s="15"/>
      <c r="E101" s="15"/>
      <c r="F101" s="15"/>
      <c r="G101" s="15"/>
      <c r="H101" s="15"/>
    </row>
    <row r="102" spans="1:8" ht="15" customHeight="1">
      <c r="A102" s="22" t="s">
        <v>160</v>
      </c>
      <c r="B102" s="15"/>
      <c r="C102" s="15"/>
      <c r="D102" s="15"/>
      <c r="E102" s="15"/>
      <c r="F102" s="15"/>
      <c r="G102" s="15"/>
      <c r="H102" s="15"/>
    </row>
    <row r="103" spans="1:8" ht="15" customHeight="1">
      <c r="A103" s="22" t="s">
        <v>160</v>
      </c>
      <c r="B103" s="15"/>
      <c r="C103" s="15"/>
      <c r="D103" s="15"/>
      <c r="E103" s="15"/>
      <c r="F103" s="15"/>
      <c r="G103" s="15"/>
      <c r="H103" s="15"/>
    </row>
    <row r="104" spans="1:8" ht="15" customHeight="1">
      <c r="A104" s="23" t="s">
        <v>161</v>
      </c>
      <c r="B104" s="24"/>
      <c r="C104" s="24"/>
      <c r="D104" s="24"/>
      <c r="E104" s="24"/>
      <c r="F104" s="24"/>
      <c r="G104" s="24"/>
      <c r="H104" s="24"/>
    </row>
    <row r="105" spans="1:8" ht="15" customHeight="1">
      <c r="A105" s="22" t="s">
        <v>162</v>
      </c>
      <c r="B105" s="16">
        <v>2509.1999999999998</v>
      </c>
      <c r="C105" s="16">
        <v>2207.1799999999998</v>
      </c>
      <c r="D105" s="16">
        <v>1726.14</v>
      </c>
      <c r="E105" s="16">
        <v>1374.75</v>
      </c>
      <c r="F105" s="16">
        <v>849.83</v>
      </c>
      <c r="G105" s="16">
        <v>890.62</v>
      </c>
      <c r="H105" s="16">
        <v>704.44</v>
      </c>
    </row>
    <row r="106" spans="1:8" ht="15" customHeight="1">
      <c r="A106" s="22" t="s">
        <v>163</v>
      </c>
      <c r="B106" s="16">
        <v>2955.72</v>
      </c>
      <c r="C106" s="16">
        <v>2586.56</v>
      </c>
      <c r="D106" s="16">
        <v>2017.93</v>
      </c>
      <c r="E106" s="16">
        <v>1598.96</v>
      </c>
      <c r="F106" s="16">
        <v>1035.31</v>
      </c>
      <c r="G106" s="16">
        <v>1052.55</v>
      </c>
      <c r="H106" s="16">
        <v>826.93</v>
      </c>
    </row>
    <row r="107" spans="1:8" ht="15" customHeight="1">
      <c r="A107" s="22" t="s">
        <v>164</v>
      </c>
      <c r="B107" s="16">
        <v>3294.48</v>
      </c>
      <c r="C107" s="16">
        <v>2869.45</v>
      </c>
      <c r="D107" s="16">
        <v>2263.6999999999998</v>
      </c>
      <c r="E107" s="16">
        <v>1814.5</v>
      </c>
      <c r="F107" s="16">
        <v>1228.8</v>
      </c>
      <c r="G107" s="16">
        <v>1309.23</v>
      </c>
      <c r="H107" s="16">
        <v>1024.93</v>
      </c>
    </row>
    <row r="108" spans="1:8" ht="15" customHeight="1">
      <c r="A108" s="23" t="s">
        <v>165</v>
      </c>
      <c r="B108" s="24"/>
      <c r="C108" s="24"/>
      <c r="D108" s="24"/>
      <c r="E108" s="24"/>
      <c r="F108" s="24"/>
      <c r="G108" s="24"/>
      <c r="H108" s="24"/>
    </row>
    <row r="109" spans="1:8" ht="15" customHeight="1">
      <c r="A109" s="22" t="s">
        <v>166</v>
      </c>
      <c r="B109" s="16">
        <v>446.04</v>
      </c>
      <c r="C109" s="16">
        <v>379.01</v>
      </c>
      <c r="D109" s="16">
        <v>291.45</v>
      </c>
      <c r="E109" s="16">
        <v>224.08</v>
      </c>
      <c r="F109" s="16">
        <v>185.26</v>
      </c>
      <c r="G109" s="16">
        <v>161.80000000000001</v>
      </c>
      <c r="H109" s="16">
        <v>122.4</v>
      </c>
    </row>
    <row r="110" spans="1:8" ht="15" customHeight="1">
      <c r="A110" s="13" t="s">
        <v>167</v>
      </c>
      <c r="B110" s="16">
        <v>443.3</v>
      </c>
      <c r="C110" s="16">
        <v>374</v>
      </c>
      <c r="D110" s="16">
        <v>282.7</v>
      </c>
      <c r="E110" s="16">
        <v>215.3</v>
      </c>
      <c r="F110" s="16">
        <v>180.1</v>
      </c>
      <c r="G110" s="16">
        <v>161.80000000000001</v>
      </c>
      <c r="H110" s="16">
        <v>122.4</v>
      </c>
    </row>
    <row r="111" spans="1:8" ht="15" customHeight="1">
      <c r="A111" s="13" t="s">
        <v>168</v>
      </c>
      <c r="B111" s="17">
        <v>2.74</v>
      </c>
      <c r="C111" s="17">
        <v>5.01</v>
      </c>
      <c r="D111" s="17">
        <v>8.75</v>
      </c>
      <c r="E111" s="17">
        <v>8.7799999999999994</v>
      </c>
      <c r="F111" s="17">
        <v>5.16</v>
      </c>
      <c r="G111" s="15"/>
      <c r="H111" s="15"/>
    </row>
    <row r="112" spans="1:8" ht="15" customHeight="1">
      <c r="A112" s="28" t="s">
        <v>169</v>
      </c>
      <c r="B112" s="17">
        <v>2.74</v>
      </c>
      <c r="C112" s="17">
        <v>5.01</v>
      </c>
      <c r="D112" s="17">
        <v>8.75</v>
      </c>
      <c r="E112" s="17">
        <v>8.7799999999999994</v>
      </c>
      <c r="F112" s="17">
        <v>5.16</v>
      </c>
      <c r="G112" s="15"/>
      <c r="H112" s="15"/>
    </row>
    <row r="113" spans="1:8" ht="15" customHeight="1">
      <c r="A113" s="23" t="s">
        <v>170</v>
      </c>
      <c r="B113" s="24"/>
      <c r="C113" s="24"/>
      <c r="D113" s="24"/>
      <c r="E113" s="24"/>
      <c r="F113" s="24"/>
      <c r="G113" s="24"/>
      <c r="H113" s="24"/>
    </row>
    <row r="114" spans="1:8" ht="15" customHeight="1">
      <c r="A114" s="22" t="s">
        <v>171</v>
      </c>
      <c r="B114" s="16">
        <v>446.52</v>
      </c>
      <c r="C114" s="16">
        <v>379.38</v>
      </c>
      <c r="D114" s="16">
        <v>291.79000000000002</v>
      </c>
      <c r="E114" s="16">
        <v>224.21</v>
      </c>
      <c r="F114" s="16">
        <v>185.48</v>
      </c>
      <c r="G114" s="16">
        <v>161.93</v>
      </c>
      <c r="H114" s="16">
        <v>122.48</v>
      </c>
    </row>
    <row r="115" spans="1:8" ht="15" customHeight="1">
      <c r="A115" s="13" t="s">
        <v>172</v>
      </c>
      <c r="B115" s="16">
        <v>443.3</v>
      </c>
      <c r="C115" s="16">
        <v>374</v>
      </c>
      <c r="D115" s="16">
        <v>282.7</v>
      </c>
      <c r="E115" s="16">
        <v>215.3</v>
      </c>
      <c r="F115" s="16">
        <v>180.1</v>
      </c>
      <c r="G115" s="16">
        <v>161.80000000000001</v>
      </c>
      <c r="H115" s="16">
        <v>122.4</v>
      </c>
    </row>
    <row r="116" spans="1:8" ht="15" customHeight="1">
      <c r="A116" s="13" t="s">
        <v>173</v>
      </c>
      <c r="B116" s="17">
        <v>2.74</v>
      </c>
      <c r="C116" s="17">
        <v>5.01</v>
      </c>
      <c r="D116" s="17">
        <v>8.75</v>
      </c>
      <c r="E116" s="17">
        <v>8.7799999999999994</v>
      </c>
      <c r="F116" s="17">
        <v>5.16</v>
      </c>
      <c r="G116" s="15"/>
      <c r="H116" s="15"/>
    </row>
    <row r="117" spans="1:8" ht="15" customHeight="1">
      <c r="A117" s="23" t="s">
        <v>174</v>
      </c>
      <c r="B117" s="24"/>
      <c r="C117" s="24"/>
      <c r="D117" s="24"/>
      <c r="E117" s="24"/>
      <c r="F117" s="24"/>
      <c r="G117" s="24"/>
      <c r="H117" s="24"/>
    </row>
    <row r="118" spans="1:8" ht="15" customHeight="1">
      <c r="A118" s="22" t="s">
        <v>175</v>
      </c>
      <c r="B118" s="15"/>
      <c r="C118" s="15"/>
      <c r="D118" s="15"/>
      <c r="E118" s="15"/>
      <c r="F118" s="15"/>
      <c r="G118" s="15"/>
      <c r="H118" s="15"/>
    </row>
    <row r="119" spans="1:8" ht="15" customHeight="1">
      <c r="A119" s="13" t="s">
        <v>176</v>
      </c>
      <c r="B119" s="17">
        <v>66.16</v>
      </c>
      <c r="C119" s="17">
        <v>68.77</v>
      </c>
      <c r="D119" s="17">
        <v>57.39</v>
      </c>
      <c r="E119" s="17">
        <v>50.82</v>
      </c>
      <c r="F119" s="17">
        <v>37.340000000000003</v>
      </c>
      <c r="G119" s="17">
        <v>33.51</v>
      </c>
      <c r="H119" s="17">
        <v>21</v>
      </c>
    </row>
    <row r="120" spans="1:8" ht="15" customHeight="1">
      <c r="A120" s="28" t="s">
        <v>177</v>
      </c>
      <c r="B120" s="17">
        <v>90.01</v>
      </c>
      <c r="C120" s="17">
        <v>93.56</v>
      </c>
      <c r="D120" s="17">
        <v>78.08</v>
      </c>
      <c r="E120" s="17">
        <v>69.14</v>
      </c>
      <c r="F120" s="17">
        <v>50.8</v>
      </c>
      <c r="G120" s="17">
        <v>45.59</v>
      </c>
      <c r="H120" s="17">
        <v>28.57</v>
      </c>
    </row>
    <row r="121" spans="1:8" ht="15" customHeight="1">
      <c r="A121" s="28" t="s">
        <v>178</v>
      </c>
      <c r="B121" s="17">
        <v>23.85</v>
      </c>
      <c r="C121" s="17">
        <v>24.79</v>
      </c>
      <c r="D121" s="17">
        <v>20.69</v>
      </c>
      <c r="E121" s="17">
        <v>18.32</v>
      </c>
      <c r="F121" s="17">
        <v>13.46</v>
      </c>
      <c r="G121" s="17">
        <v>12.08</v>
      </c>
      <c r="H121" s="17">
        <v>7.57</v>
      </c>
    </row>
    <row r="122" spans="1:8" ht="15" customHeight="1">
      <c r="A122" s="23" t="s">
        <v>179</v>
      </c>
      <c r="B122" s="24"/>
      <c r="C122" s="24"/>
      <c r="D122" s="24"/>
      <c r="E122" s="24"/>
      <c r="F122" s="24"/>
      <c r="G122" s="24"/>
      <c r="H122" s="24"/>
    </row>
    <row r="123" spans="1:8" ht="15" customHeight="1">
      <c r="A123" s="22" t="s">
        <v>179</v>
      </c>
      <c r="B123" s="17">
        <v>3.11</v>
      </c>
      <c r="C123" s="17">
        <v>2.57</v>
      </c>
      <c r="D123" s="17">
        <v>1.82</v>
      </c>
      <c r="E123" s="17">
        <v>1.55</v>
      </c>
      <c r="F123" s="17">
        <v>1.3</v>
      </c>
      <c r="G123" s="17">
        <v>1.1299999999999999</v>
      </c>
      <c r="H123" s="17">
        <v>1.19</v>
      </c>
    </row>
    <row r="124" spans="1:8" ht="15" customHeight="1">
      <c r="A124" s="13" t="s">
        <v>180</v>
      </c>
      <c r="B124" s="17">
        <v>3.06</v>
      </c>
      <c r="C124" s="17">
        <v>2.5499999999999998</v>
      </c>
      <c r="D124" s="17">
        <v>1.8</v>
      </c>
      <c r="E124" s="17">
        <v>1.51</v>
      </c>
      <c r="F124" s="17">
        <v>1.28</v>
      </c>
      <c r="G124" s="17">
        <v>1.1299999999999999</v>
      </c>
      <c r="H124" s="17">
        <v>1.19</v>
      </c>
    </row>
    <row r="125" spans="1:8" ht="15" customHeight="1">
      <c r="A125" s="13" t="s">
        <v>181</v>
      </c>
      <c r="B125" s="15"/>
      <c r="C125" s="15"/>
      <c r="D125" s="15"/>
      <c r="E125" s="17">
        <v>0.02</v>
      </c>
      <c r="F125" s="15"/>
      <c r="G125" s="15"/>
      <c r="H125" s="15"/>
    </row>
    <row r="126" spans="1:8" ht="15" customHeight="1">
      <c r="A126" s="13" t="s">
        <v>182</v>
      </c>
      <c r="B126" s="17">
        <v>0.05</v>
      </c>
      <c r="C126" s="17">
        <v>0.02</v>
      </c>
      <c r="D126" s="17">
        <v>0.02</v>
      </c>
      <c r="E126" s="17">
        <v>0.02</v>
      </c>
      <c r="F126" s="17">
        <v>0.02</v>
      </c>
      <c r="G126" s="15"/>
      <c r="H126" s="15"/>
    </row>
    <row r="127" spans="1:8" ht="15" customHeight="1">
      <c r="A127" s="23" t="s">
        <v>183</v>
      </c>
      <c r="B127" s="24"/>
      <c r="C127" s="24"/>
      <c r="D127" s="24"/>
      <c r="E127" s="24"/>
      <c r="F127" s="24"/>
      <c r="G127" s="24"/>
      <c r="H127" s="24"/>
    </row>
    <row r="128" spans="1:8" ht="15" customHeight="1">
      <c r="A128" s="22" t="s">
        <v>184</v>
      </c>
      <c r="B128" s="15"/>
      <c r="C128" s="15"/>
      <c r="D128" s="16">
        <v>2001.63</v>
      </c>
      <c r="E128" s="16">
        <v>1759.24</v>
      </c>
      <c r="F128" s="15"/>
      <c r="G128" s="15"/>
      <c r="H128" s="15"/>
    </row>
    <row r="129" spans="1:8" ht="15" customHeight="1">
      <c r="A129" s="22" t="s">
        <v>185</v>
      </c>
      <c r="B129" s="15"/>
      <c r="C129" s="16">
        <v>2230.89</v>
      </c>
      <c r="D129" s="15"/>
      <c r="E129" s="15"/>
      <c r="F129" s="15"/>
      <c r="G129" s="15"/>
      <c r="H129" s="16">
        <v>705.84</v>
      </c>
    </row>
    <row r="130" spans="1:8" ht="15" customHeight="1">
      <c r="A130" s="22" t="s">
        <v>186</v>
      </c>
      <c r="B130" s="15"/>
      <c r="C130" s="15"/>
      <c r="D130" s="15"/>
      <c r="E130" s="15"/>
      <c r="F130" s="15"/>
      <c r="G130" s="17">
        <v>3.84</v>
      </c>
      <c r="H130" s="17">
        <v>3.84</v>
      </c>
    </row>
    <row r="131" spans="1:8" ht="15" customHeight="1">
      <c r="A131" s="22" t="s">
        <v>187</v>
      </c>
      <c r="B131" s="30"/>
      <c r="C131" s="30">
        <v>23.2</v>
      </c>
      <c r="D131" s="30"/>
      <c r="E131" s="30"/>
      <c r="F131" s="30"/>
      <c r="G131" s="30"/>
      <c r="H131" s="30">
        <v>21.5</v>
      </c>
    </row>
    <row r="132" spans="1:8" ht="15" customHeight="1">
      <c r="A132" s="22" t="s">
        <v>188</v>
      </c>
      <c r="B132" s="15"/>
      <c r="C132" s="15"/>
      <c r="D132" s="15"/>
      <c r="E132" s="21">
        <v>-1.42</v>
      </c>
      <c r="F132" s="21">
        <v>-3.13</v>
      </c>
      <c r="G132" s="15"/>
      <c r="H132" s="15"/>
    </row>
    <row r="133" spans="1:8" ht="15" customHeight="1">
      <c r="A133" s="23" t="s">
        <v>189</v>
      </c>
      <c r="B133" s="24"/>
      <c r="C133" s="24"/>
      <c r="D133" s="24"/>
      <c r="E133" s="24"/>
      <c r="F133" s="24"/>
      <c r="G133" s="24"/>
      <c r="H133" s="24"/>
    </row>
    <row r="134" spans="1:8" ht="15" customHeight="1">
      <c r="A134" s="22" t="s">
        <v>190</v>
      </c>
      <c r="B134" s="16">
        <v>1818.12</v>
      </c>
      <c r="C134" s="16">
        <v>1624.69</v>
      </c>
      <c r="D134" s="16">
        <v>1262.71</v>
      </c>
      <c r="E134" s="16">
        <v>1016.72</v>
      </c>
      <c r="F134" s="16">
        <v>618.76</v>
      </c>
      <c r="G134" s="16">
        <v>647.1</v>
      </c>
      <c r="H134" s="16">
        <v>489.87</v>
      </c>
    </row>
    <row r="135" spans="1:8" ht="15" customHeight="1">
      <c r="A135" s="22" t="s">
        <v>191</v>
      </c>
      <c r="B135" s="16">
        <v>1818.12</v>
      </c>
      <c r="C135" s="16">
        <v>1624.69</v>
      </c>
      <c r="D135" s="16">
        <v>1262.71</v>
      </c>
      <c r="E135" s="16">
        <v>1016.72</v>
      </c>
      <c r="F135" s="16">
        <v>618.76</v>
      </c>
      <c r="G135" s="16">
        <v>647.1</v>
      </c>
      <c r="H135" s="16">
        <v>489.87</v>
      </c>
    </row>
    <row r="136" spans="1:8" ht="15" customHeight="1">
      <c r="A136" s="22" t="s">
        <v>192</v>
      </c>
      <c r="B136" s="16">
        <v>1818.12</v>
      </c>
      <c r="C136" s="16">
        <v>1624.69</v>
      </c>
      <c r="D136" s="16">
        <v>1262.71</v>
      </c>
      <c r="E136" s="16">
        <v>1016.72</v>
      </c>
      <c r="F136" s="16">
        <v>618.76</v>
      </c>
      <c r="G136" s="16">
        <v>647.1</v>
      </c>
      <c r="H136" s="16">
        <v>489.87</v>
      </c>
    </row>
    <row r="137" spans="1:8" ht="15" customHeight="1">
      <c r="A137" s="22" t="s">
        <v>193</v>
      </c>
      <c r="B137" s="16">
        <v>2579.58</v>
      </c>
      <c r="C137" s="16">
        <v>2250.2399999999998</v>
      </c>
      <c r="D137" s="16">
        <v>1672.58</v>
      </c>
      <c r="E137" s="16">
        <v>1339.46</v>
      </c>
      <c r="F137" s="16">
        <v>825.69</v>
      </c>
      <c r="G137" s="16">
        <v>898.88</v>
      </c>
      <c r="H137" s="16">
        <v>713.84</v>
      </c>
    </row>
    <row r="138" spans="1:8" ht="15" customHeight="1">
      <c r="A138" s="22" t="s">
        <v>194</v>
      </c>
      <c r="B138" s="16">
        <v>3026.1</v>
      </c>
      <c r="C138" s="16">
        <v>2629.62</v>
      </c>
      <c r="D138" s="16">
        <v>1964.38</v>
      </c>
      <c r="E138" s="16">
        <v>1563.67</v>
      </c>
      <c r="F138" s="16">
        <v>1011.17</v>
      </c>
      <c r="G138" s="16">
        <v>1060.81</v>
      </c>
      <c r="H138" s="16">
        <v>836.33</v>
      </c>
    </row>
    <row r="139" spans="1:8" ht="15" customHeight="1">
      <c r="A139" s="23" t="s">
        <v>195</v>
      </c>
      <c r="B139" s="24"/>
      <c r="C139" s="24"/>
      <c r="D139" s="24"/>
      <c r="E139" s="24"/>
      <c r="F139" s="24"/>
      <c r="G139" s="24"/>
      <c r="H139" s="24"/>
    </row>
    <row r="140" spans="1:8" ht="15" customHeight="1">
      <c r="A140" s="22" t="s">
        <v>196</v>
      </c>
      <c r="B140" s="15"/>
      <c r="C140" s="15"/>
      <c r="D140" s="15"/>
      <c r="E140" s="15"/>
      <c r="F140" s="15"/>
      <c r="G140" s="21">
        <v>-1.51</v>
      </c>
      <c r="H140" s="17">
        <v>1.39</v>
      </c>
    </row>
    <row r="141" spans="1:8" ht="15" customHeight="1">
      <c r="A141" s="13" t="s">
        <v>197</v>
      </c>
      <c r="B141" s="15"/>
      <c r="C141" s="15"/>
      <c r="D141" s="15"/>
      <c r="E141" s="15"/>
      <c r="F141" s="15"/>
      <c r="G141" s="21">
        <v>-1.51</v>
      </c>
      <c r="H141" s="17">
        <v>1.39</v>
      </c>
    </row>
    <row r="142" spans="1:8" ht="15" customHeight="1">
      <c r="A142" s="23" t="s">
        <v>198</v>
      </c>
      <c r="B142" s="24"/>
      <c r="C142" s="24"/>
      <c r="D142" s="24"/>
      <c r="E142" s="24"/>
      <c r="F142" s="24"/>
      <c r="G142" s="24"/>
      <c r="H142" s="24"/>
    </row>
    <row r="143" spans="1:8" ht="15" customHeight="1">
      <c r="A143" s="22" t="s">
        <v>199</v>
      </c>
      <c r="B143" s="16">
        <v>537.9</v>
      </c>
      <c r="C143" s="16">
        <v>450.97</v>
      </c>
      <c r="D143" s="16">
        <v>377</v>
      </c>
      <c r="E143" s="16">
        <v>318.77</v>
      </c>
      <c r="F143" s="16">
        <v>266.20999999999998</v>
      </c>
      <c r="G143" s="15"/>
      <c r="H143" s="15"/>
    </row>
    <row r="144" spans="1:8" ht="15" customHeight="1">
      <c r="A144" s="13" t="s">
        <v>200</v>
      </c>
      <c r="B144" s="16">
        <v>338.76</v>
      </c>
      <c r="C144" s="16">
        <v>282.89</v>
      </c>
      <c r="D144" s="16">
        <v>245.77</v>
      </c>
      <c r="E144" s="16">
        <v>215.55</v>
      </c>
      <c r="F144" s="16">
        <v>193.5</v>
      </c>
      <c r="G144" s="15"/>
      <c r="H144" s="15"/>
    </row>
    <row r="145" spans="1:8" ht="15" customHeight="1">
      <c r="A145" s="13" t="s">
        <v>201</v>
      </c>
      <c r="B145" s="16">
        <v>188.36</v>
      </c>
      <c r="C145" s="16">
        <v>152.79</v>
      </c>
      <c r="D145" s="16">
        <v>114.44</v>
      </c>
      <c r="E145" s="17">
        <v>90.85</v>
      </c>
      <c r="F145" s="17">
        <v>60.99</v>
      </c>
      <c r="G145" s="15"/>
      <c r="H145" s="15"/>
    </row>
    <row r="146" spans="1:8" ht="15" customHeight="1">
      <c r="A146" s="13" t="s">
        <v>202</v>
      </c>
      <c r="B146" s="17">
        <v>13.59</v>
      </c>
      <c r="C146" s="17">
        <v>15.29</v>
      </c>
      <c r="D146" s="17">
        <v>16.79</v>
      </c>
      <c r="E146" s="17">
        <v>12.37</v>
      </c>
      <c r="F146" s="17">
        <v>11.72</v>
      </c>
      <c r="G146" s="15"/>
      <c r="H146" s="15"/>
    </row>
    <row r="147" spans="1:8" ht="15" customHeight="1">
      <c r="A147" s="13" t="s">
        <v>203</v>
      </c>
      <c r="B147" s="17">
        <v>2.81</v>
      </c>
      <c r="C147" s="15"/>
      <c r="D147" s="15"/>
      <c r="E147" s="15"/>
      <c r="F147" s="15"/>
      <c r="G147" s="15"/>
      <c r="H147" s="15"/>
    </row>
    <row r="148" spans="1:8" ht="15" customHeight="1">
      <c r="A148" s="23" t="s">
        <v>55</v>
      </c>
      <c r="B148" s="24"/>
      <c r="C148" s="24"/>
      <c r="D148" s="24"/>
      <c r="E148" s="24"/>
      <c r="F148" s="24"/>
      <c r="G148" s="24"/>
      <c r="H148" s="24"/>
    </row>
    <row r="149" spans="1:8" ht="15" customHeight="1">
      <c r="A149" s="22" t="s">
        <v>204</v>
      </c>
      <c r="B149" s="16">
        <v>338.76</v>
      </c>
      <c r="C149" s="16">
        <v>282.89</v>
      </c>
      <c r="D149" s="16">
        <v>245.77</v>
      </c>
      <c r="E149" s="16">
        <v>215.55</v>
      </c>
      <c r="F149" s="16">
        <v>193.5</v>
      </c>
      <c r="G149" s="16">
        <v>256.68</v>
      </c>
      <c r="H149" s="16">
        <v>198</v>
      </c>
    </row>
    <row r="150" spans="1:8" ht="15" customHeight="1">
      <c r="A150" s="22" t="s">
        <v>205</v>
      </c>
      <c r="B150" s="16">
        <v>541.5</v>
      </c>
      <c r="C150" s="15"/>
      <c r="D150" s="15"/>
      <c r="E150" s="15"/>
      <c r="F150" s="15"/>
      <c r="G150" s="15"/>
      <c r="H150" s="15"/>
    </row>
    <row r="151" spans="1:8" ht="15" customHeight="1">
      <c r="A151" s="22" t="s">
        <v>206</v>
      </c>
      <c r="B151" s="16">
        <v>4320.05</v>
      </c>
      <c r="C151" s="16">
        <v>4014.88</v>
      </c>
      <c r="D151" s="16">
        <v>3626.93</v>
      </c>
      <c r="E151" s="16">
        <v>2656.83</v>
      </c>
      <c r="F151" s="16">
        <v>1943.05</v>
      </c>
      <c r="G151" s="16">
        <v>1755.91</v>
      </c>
      <c r="H151" s="16">
        <v>1472.03</v>
      </c>
    </row>
    <row r="152" spans="1:8" ht="15" customHeight="1">
      <c r="A152" s="22" t="s">
        <v>207</v>
      </c>
      <c r="B152" s="16">
        <v>4317.3100000000004</v>
      </c>
      <c r="C152" s="16">
        <v>4009.87</v>
      </c>
      <c r="D152" s="16">
        <v>3618.18</v>
      </c>
      <c r="E152" s="16">
        <v>2648.05</v>
      </c>
      <c r="F152" s="16">
        <v>1937.89</v>
      </c>
      <c r="G152" s="16">
        <v>1755.91</v>
      </c>
      <c r="H152" s="16">
        <v>1472.03</v>
      </c>
    </row>
    <row r="153" spans="1:8" ht="15" customHeight="1">
      <c r="A153" s="22" t="s">
        <v>208</v>
      </c>
      <c r="B153" s="15"/>
      <c r="C153" s="15"/>
      <c r="D153" s="21">
        <v>-67.900000000000006</v>
      </c>
      <c r="E153" s="21">
        <v>-35.799999999999997</v>
      </c>
      <c r="F153" s="21">
        <v>-23.5</v>
      </c>
      <c r="G153" s="21">
        <v>-0.02</v>
      </c>
      <c r="H153" s="21">
        <v>-0.01</v>
      </c>
    </row>
    <row r="154" spans="1:8" ht="15" customHeight="1">
      <c r="A154" s="22" t="s">
        <v>84</v>
      </c>
      <c r="B154" s="16">
        <v>8078.93</v>
      </c>
      <c r="C154" s="16">
        <v>7412.1</v>
      </c>
      <c r="D154" s="16">
        <v>6384.38</v>
      </c>
      <c r="E154" s="16">
        <v>4881.87</v>
      </c>
      <c r="F154" s="16">
        <v>3552.05</v>
      </c>
      <c r="G154" s="16">
        <v>3088.68</v>
      </c>
      <c r="H154" s="16">
        <v>2583.88</v>
      </c>
    </row>
    <row r="155" spans="1:8" ht="15" customHeight="1">
      <c r="A155" s="22" t="s">
        <v>209</v>
      </c>
      <c r="B155" s="16">
        <v>3758.88</v>
      </c>
      <c r="C155" s="16">
        <v>3397.22</v>
      </c>
      <c r="D155" s="16">
        <v>2757.45</v>
      </c>
      <c r="E155" s="16">
        <v>2225.0300000000002</v>
      </c>
      <c r="F155" s="16">
        <v>1609</v>
      </c>
      <c r="G155" s="16">
        <v>1332.77</v>
      </c>
      <c r="H155" s="16">
        <v>1111.8399999999999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87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210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45922.395209976901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211</v>
      </c>
      <c r="C15" s="116" t="s">
        <v>211</v>
      </c>
      <c r="D15" s="116" t="s">
        <v>211</v>
      </c>
      <c r="E15" s="116" t="s">
        <v>211</v>
      </c>
      <c r="F15" s="116" t="s">
        <v>211</v>
      </c>
      <c r="G15" s="116" t="s">
        <v>211</v>
      </c>
      <c r="H15" s="116" t="s">
        <v>211</v>
      </c>
    </row>
    <row r="17" spans="1:8">
      <c r="A17" s="8" t="s">
        <v>212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213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214</v>
      </c>
      <c r="B20" s="16">
        <v>1984.34</v>
      </c>
      <c r="C20" s="16">
        <v>2243.9699999999998</v>
      </c>
      <c r="D20" s="16">
        <v>1154.8699999999999</v>
      </c>
      <c r="E20" s="16">
        <v>1259.8699999999999</v>
      </c>
      <c r="F20" s="16">
        <v>1150.52</v>
      </c>
      <c r="G20" s="16">
        <v>1093.51</v>
      </c>
      <c r="H20" s="16">
        <v>881.32</v>
      </c>
    </row>
    <row r="21" spans="1:8" ht="15" customHeight="1">
      <c r="A21" s="13" t="s">
        <v>215</v>
      </c>
      <c r="B21" s="16">
        <v>1984.34</v>
      </c>
      <c r="C21" s="16">
        <v>2243.9699999999998</v>
      </c>
      <c r="D21" s="16">
        <v>1154.8699999999999</v>
      </c>
      <c r="E21" s="16">
        <v>1259.8699999999999</v>
      </c>
      <c r="F21" s="16">
        <v>1150.52</v>
      </c>
      <c r="G21" s="16">
        <v>1093.51</v>
      </c>
      <c r="H21" s="16">
        <v>881.32</v>
      </c>
    </row>
    <row r="22" spans="1:8" ht="15" customHeight="1">
      <c r="A22" s="22" t="s">
        <v>216</v>
      </c>
      <c r="B22" s="17">
        <v>76.849999999999994</v>
      </c>
      <c r="C22" s="17">
        <v>0.65</v>
      </c>
      <c r="D22" s="17">
        <v>16.71</v>
      </c>
      <c r="E22" s="17">
        <v>19.079999999999998</v>
      </c>
      <c r="F22" s="17">
        <v>17.36</v>
      </c>
      <c r="G22" s="17">
        <v>0.15</v>
      </c>
      <c r="H22" s="17">
        <v>0.52</v>
      </c>
    </row>
    <row r="23" spans="1:8" ht="15" customHeight="1">
      <c r="A23" s="22" t="s">
        <v>217</v>
      </c>
      <c r="B23" s="16">
        <v>120.17</v>
      </c>
      <c r="C23" s="16">
        <v>124.77</v>
      </c>
      <c r="D23" s="16">
        <v>132.91</v>
      </c>
      <c r="E23" s="17">
        <v>77</v>
      </c>
      <c r="F23" s="17">
        <v>75.709999999999994</v>
      </c>
      <c r="G23" s="17">
        <v>40.22</v>
      </c>
      <c r="H23" s="17">
        <v>35.79</v>
      </c>
    </row>
    <row r="24" spans="1:8" ht="15" customHeight="1">
      <c r="A24" s="13" t="s">
        <v>218</v>
      </c>
      <c r="B24" s="16">
        <v>120.17</v>
      </c>
      <c r="C24" s="16">
        <v>124.77</v>
      </c>
      <c r="D24" s="16">
        <v>132.91</v>
      </c>
      <c r="E24" s="17">
        <v>77</v>
      </c>
      <c r="F24" s="17">
        <v>62.4</v>
      </c>
      <c r="G24" s="17">
        <v>40.22</v>
      </c>
      <c r="H24" s="17">
        <v>35.79</v>
      </c>
    </row>
    <row r="25" spans="1:8" ht="15" customHeight="1">
      <c r="A25" s="13" t="s">
        <v>219</v>
      </c>
      <c r="B25" s="15"/>
      <c r="C25" s="15"/>
      <c r="D25" s="15"/>
      <c r="E25" s="15"/>
      <c r="F25" s="17">
        <v>13.31</v>
      </c>
      <c r="G25" s="15"/>
      <c r="H25" s="15"/>
    </row>
    <row r="26" spans="1:8" ht="15" customHeight="1">
      <c r="A26" s="22" t="s">
        <v>220</v>
      </c>
      <c r="B26" s="16">
        <v>1442.08</v>
      </c>
      <c r="C26" s="16">
        <v>1323.6</v>
      </c>
      <c r="D26" s="16">
        <v>1447.37</v>
      </c>
      <c r="E26" s="16">
        <v>966.48</v>
      </c>
      <c r="F26" s="16">
        <v>647.23</v>
      </c>
      <c r="G26" s="16">
        <v>518.51</v>
      </c>
      <c r="H26" s="16">
        <v>404.84</v>
      </c>
    </row>
    <row r="27" spans="1:8" ht="15" customHeight="1">
      <c r="A27" s="13" t="s">
        <v>221</v>
      </c>
      <c r="B27" s="16">
        <v>1526.06</v>
      </c>
      <c r="C27" s="16">
        <v>1465.08</v>
      </c>
      <c r="D27" s="16">
        <v>1571.98</v>
      </c>
      <c r="E27" s="16">
        <v>1004.53</v>
      </c>
      <c r="F27" s="16">
        <v>678.2</v>
      </c>
      <c r="G27" s="16">
        <v>540.58000000000004</v>
      </c>
      <c r="H27" s="16">
        <v>420.93</v>
      </c>
    </row>
    <row r="28" spans="1:8" ht="15" customHeight="1">
      <c r="A28" s="13" t="s">
        <v>222</v>
      </c>
      <c r="B28" s="21">
        <v>-83.97</v>
      </c>
      <c r="C28" s="18">
        <v>-141.47</v>
      </c>
      <c r="D28" s="18">
        <v>-124.61</v>
      </c>
      <c r="E28" s="21">
        <v>-38.04</v>
      </c>
      <c r="F28" s="21">
        <v>-30.97</v>
      </c>
      <c r="G28" s="21">
        <v>-22.07</v>
      </c>
      <c r="H28" s="21">
        <v>-16.09</v>
      </c>
    </row>
    <row r="29" spans="1:8" ht="15" customHeight="1">
      <c r="A29" s="22" t="s">
        <v>223</v>
      </c>
      <c r="B29" s="16">
        <v>329.93</v>
      </c>
      <c r="C29" s="16">
        <v>320.94</v>
      </c>
      <c r="D29" s="16">
        <v>327.64</v>
      </c>
      <c r="E29" s="16">
        <v>259.87</v>
      </c>
      <c r="F29" s="16">
        <v>221.29</v>
      </c>
      <c r="G29" s="16">
        <v>155.55000000000001</v>
      </c>
      <c r="H29" s="16">
        <v>106.82</v>
      </c>
    </row>
    <row r="30" spans="1:8" ht="15" customHeight="1">
      <c r="A30" s="22" t="s">
        <v>224</v>
      </c>
      <c r="B30" s="17">
        <v>26.93</v>
      </c>
      <c r="C30" s="17">
        <v>46.65</v>
      </c>
      <c r="D30" s="17">
        <v>79.959999999999994</v>
      </c>
      <c r="E30" s="17">
        <v>32.549999999999997</v>
      </c>
      <c r="F30" s="17">
        <v>12.27</v>
      </c>
      <c r="G30" s="15"/>
      <c r="H30" s="15"/>
    </row>
    <row r="31" spans="1:8" ht="15" customHeight="1">
      <c r="A31" s="13" t="s">
        <v>225</v>
      </c>
      <c r="B31" s="17">
        <v>26.93</v>
      </c>
      <c r="C31" s="17">
        <v>46.65</v>
      </c>
      <c r="D31" s="17">
        <v>79.959999999999994</v>
      </c>
      <c r="E31" s="17">
        <v>32.549999999999997</v>
      </c>
      <c r="F31" s="17">
        <v>12.27</v>
      </c>
      <c r="G31" s="15"/>
      <c r="H31" s="15"/>
    </row>
    <row r="32" spans="1:8" ht="15" customHeight="1">
      <c r="A32" s="25" t="s">
        <v>226</v>
      </c>
      <c r="B32" s="27">
        <v>3980.3</v>
      </c>
      <c r="C32" s="27">
        <v>4060.58</v>
      </c>
      <c r="D32" s="27">
        <v>3159.45</v>
      </c>
      <c r="E32" s="27">
        <v>2614.85</v>
      </c>
      <c r="F32" s="27">
        <v>2124.38</v>
      </c>
      <c r="G32" s="27">
        <v>1807.94</v>
      </c>
      <c r="H32" s="27">
        <v>1429.28</v>
      </c>
    </row>
    <row r="33" spans="1:8" ht="15" customHeight="1">
      <c r="A33" s="23" t="s">
        <v>227</v>
      </c>
      <c r="B33" s="24"/>
      <c r="C33" s="24"/>
      <c r="D33" s="24"/>
      <c r="E33" s="24"/>
      <c r="F33" s="24"/>
      <c r="G33" s="24"/>
      <c r="H33" s="24"/>
    </row>
    <row r="34" spans="1:8" ht="15" customHeight="1">
      <c r="A34" s="22" t="s">
        <v>64</v>
      </c>
      <c r="B34" s="16">
        <v>3196.87</v>
      </c>
      <c r="C34" s="16">
        <v>2811.42</v>
      </c>
      <c r="D34" s="16">
        <v>2239.0300000000002</v>
      </c>
      <c r="E34" s="16">
        <v>1731.25</v>
      </c>
      <c r="F34" s="16">
        <v>1480.52</v>
      </c>
      <c r="G34" s="16">
        <v>1361.36</v>
      </c>
      <c r="H34" s="16">
        <v>567.24</v>
      </c>
    </row>
    <row r="35" spans="1:8" ht="15" customHeight="1">
      <c r="A35" s="13" t="s">
        <v>228</v>
      </c>
      <c r="B35" s="16">
        <v>3196.87</v>
      </c>
      <c r="C35" s="16">
        <v>2811.42</v>
      </c>
      <c r="D35" s="16">
        <v>2239.0300000000002</v>
      </c>
      <c r="E35" s="16">
        <v>1731.25</v>
      </c>
      <c r="F35" s="16">
        <v>1480.52</v>
      </c>
      <c r="G35" s="16">
        <v>1361.36</v>
      </c>
      <c r="H35" s="16">
        <v>567.24</v>
      </c>
    </row>
    <row r="36" spans="1:8" ht="15" customHeight="1">
      <c r="A36" s="13" t="s">
        <v>229</v>
      </c>
      <c r="B36" s="16">
        <v>4657.92</v>
      </c>
      <c r="C36" s="16">
        <v>4028.85</v>
      </c>
      <c r="D36" s="16">
        <v>3226.33</v>
      </c>
      <c r="E36" s="16">
        <v>2560.39</v>
      </c>
      <c r="F36" s="16">
        <v>2171.11</v>
      </c>
      <c r="G36" s="16">
        <v>1883.03</v>
      </c>
      <c r="H36" s="16">
        <v>972.48</v>
      </c>
    </row>
    <row r="37" spans="1:8" ht="15" customHeight="1">
      <c r="A37" s="28" t="s">
        <v>230</v>
      </c>
      <c r="B37" s="16">
        <v>4657.92</v>
      </c>
      <c r="C37" s="16">
        <v>4028.85</v>
      </c>
      <c r="D37" s="16">
        <v>3226.33</v>
      </c>
      <c r="E37" s="16">
        <v>2560.39</v>
      </c>
      <c r="F37" s="16">
        <v>2171.11</v>
      </c>
      <c r="G37" s="16">
        <v>1883.03</v>
      </c>
      <c r="H37" s="16">
        <v>972.48</v>
      </c>
    </row>
    <row r="38" spans="1:8" ht="15" customHeight="1">
      <c r="A38" s="29" t="s">
        <v>231</v>
      </c>
      <c r="B38" s="16">
        <v>1329.36</v>
      </c>
      <c r="C38" s="16">
        <v>1115.46</v>
      </c>
      <c r="D38" s="16">
        <v>927.61</v>
      </c>
      <c r="E38" s="16">
        <v>781.94</v>
      </c>
      <c r="F38" s="16">
        <v>688.44</v>
      </c>
      <c r="G38" s="16">
        <v>591.22</v>
      </c>
      <c r="H38" s="16">
        <v>479.24</v>
      </c>
    </row>
    <row r="39" spans="1:8" ht="15" customHeight="1">
      <c r="A39" s="31" t="s">
        <v>232</v>
      </c>
      <c r="B39" s="17">
        <v>74.459999999999994</v>
      </c>
      <c r="C39" s="17">
        <v>79.5</v>
      </c>
      <c r="D39" s="17">
        <v>80.69</v>
      </c>
      <c r="E39" s="17">
        <v>74.3</v>
      </c>
      <c r="F39" s="17">
        <v>74.260000000000005</v>
      </c>
      <c r="G39" s="17">
        <v>71.83</v>
      </c>
      <c r="H39" s="17">
        <v>78.64</v>
      </c>
    </row>
    <row r="40" spans="1:8" ht="15" customHeight="1">
      <c r="A40" s="31" t="s">
        <v>233</v>
      </c>
      <c r="B40" s="17">
        <v>27.66</v>
      </c>
      <c r="C40" s="17">
        <v>29.03</v>
      </c>
      <c r="D40" s="17">
        <v>28.85</v>
      </c>
      <c r="E40" s="17">
        <v>30.88</v>
      </c>
      <c r="F40" s="17">
        <v>30.87</v>
      </c>
      <c r="G40" s="17">
        <v>30.19</v>
      </c>
      <c r="H40" s="17">
        <v>38.03</v>
      </c>
    </row>
    <row r="41" spans="1:8" ht="15" customHeight="1">
      <c r="A41" s="31" t="s">
        <v>234</v>
      </c>
      <c r="B41" s="16">
        <v>1227.25</v>
      </c>
      <c r="C41" s="16">
        <v>1006.93</v>
      </c>
      <c r="D41" s="16">
        <v>818.07</v>
      </c>
      <c r="E41" s="16">
        <v>676.76</v>
      </c>
      <c r="F41" s="16">
        <v>583.29999999999995</v>
      </c>
      <c r="G41" s="16">
        <v>489.2</v>
      </c>
      <c r="H41" s="16">
        <v>362.57</v>
      </c>
    </row>
    <row r="42" spans="1:8" ht="15" customHeight="1">
      <c r="A42" s="29" t="s">
        <v>235</v>
      </c>
      <c r="B42" s="16">
        <v>1476.8</v>
      </c>
      <c r="C42" s="16">
        <v>1209.1600000000001</v>
      </c>
      <c r="D42" s="16">
        <v>909.06</v>
      </c>
      <c r="E42" s="16">
        <v>663.21</v>
      </c>
      <c r="F42" s="16">
        <v>543.54999999999995</v>
      </c>
      <c r="G42" s="16">
        <v>432.17</v>
      </c>
      <c r="H42" s="16">
        <v>300.23</v>
      </c>
    </row>
    <row r="43" spans="1:8" ht="15" customHeight="1">
      <c r="A43" s="31" t="s">
        <v>236</v>
      </c>
      <c r="B43" s="16">
        <v>1476.8</v>
      </c>
      <c r="C43" s="16">
        <v>1209.1600000000001</v>
      </c>
      <c r="D43" s="16">
        <v>909.06</v>
      </c>
      <c r="E43" s="16">
        <v>663.21</v>
      </c>
      <c r="F43" s="16">
        <v>543.54999999999995</v>
      </c>
      <c r="G43" s="16">
        <v>432.17</v>
      </c>
      <c r="H43" s="16">
        <v>300.23</v>
      </c>
    </row>
    <row r="44" spans="1:8" ht="15" customHeight="1">
      <c r="A44" s="29" t="s">
        <v>237</v>
      </c>
      <c r="B44" s="16">
        <v>206.4</v>
      </c>
      <c r="C44" s="16">
        <v>247.94</v>
      </c>
      <c r="D44" s="16">
        <v>244.9</v>
      </c>
      <c r="E44" s="16">
        <v>163.41999999999999</v>
      </c>
      <c r="F44" s="17">
        <v>69.849999999999994</v>
      </c>
      <c r="G44" s="17">
        <v>40.93</v>
      </c>
      <c r="H44" s="17">
        <v>74.27</v>
      </c>
    </row>
    <row r="45" spans="1:8" ht="15" customHeight="1">
      <c r="A45" s="29" t="s">
        <v>238</v>
      </c>
      <c r="B45" s="16">
        <v>1416.26</v>
      </c>
      <c r="C45" s="16">
        <v>1265.6099999999999</v>
      </c>
      <c r="D45" s="16">
        <v>969.42</v>
      </c>
      <c r="E45" s="16">
        <v>803.54</v>
      </c>
      <c r="F45" s="16">
        <v>734.84</v>
      </c>
      <c r="G45" s="16">
        <v>689.66</v>
      </c>
      <c r="H45" s="15"/>
    </row>
    <row r="46" spans="1:8" ht="15" customHeight="1">
      <c r="A46" s="31" t="s">
        <v>239</v>
      </c>
      <c r="B46" s="16">
        <v>1416.26</v>
      </c>
      <c r="C46" s="16">
        <v>1265.6099999999999</v>
      </c>
      <c r="D46" s="16">
        <v>969.42</v>
      </c>
      <c r="E46" s="16">
        <v>803.54</v>
      </c>
      <c r="F46" s="16">
        <v>734.84</v>
      </c>
      <c r="G46" s="16">
        <v>689.66</v>
      </c>
      <c r="H46" s="15"/>
    </row>
    <row r="47" spans="1:8" ht="15" customHeight="1">
      <c r="A47" s="29" t="s">
        <v>240</v>
      </c>
      <c r="B47" s="16">
        <v>229.1</v>
      </c>
      <c r="C47" s="16">
        <v>190.67</v>
      </c>
      <c r="D47" s="16">
        <v>175.34</v>
      </c>
      <c r="E47" s="16">
        <v>148.27000000000001</v>
      </c>
      <c r="F47" s="16">
        <v>134.44</v>
      </c>
      <c r="G47" s="16">
        <v>129.05000000000001</v>
      </c>
      <c r="H47" s="16">
        <v>118.74</v>
      </c>
    </row>
    <row r="48" spans="1:8" ht="15" customHeight="1">
      <c r="A48" s="13" t="s">
        <v>241</v>
      </c>
      <c r="B48" s="16">
        <v>1461.05</v>
      </c>
      <c r="C48" s="16">
        <v>1217.43</v>
      </c>
      <c r="D48" s="16">
        <v>987.3</v>
      </c>
      <c r="E48" s="16">
        <v>829.13</v>
      </c>
      <c r="F48" s="16">
        <v>690.59</v>
      </c>
      <c r="G48" s="16">
        <v>521.67999999999995</v>
      </c>
      <c r="H48" s="16">
        <v>405.24</v>
      </c>
    </row>
    <row r="49" spans="1:8" ht="15" customHeight="1">
      <c r="A49" s="28" t="s">
        <v>242</v>
      </c>
      <c r="B49" s="16">
        <v>1461.05</v>
      </c>
      <c r="C49" s="16">
        <v>1217.43</v>
      </c>
      <c r="D49" s="16">
        <v>987.3</v>
      </c>
      <c r="E49" s="16">
        <v>829.13</v>
      </c>
      <c r="F49" s="16">
        <v>690.59</v>
      </c>
      <c r="G49" s="16">
        <v>521.67999999999995</v>
      </c>
      <c r="H49" s="16">
        <v>405.24</v>
      </c>
    </row>
    <row r="50" spans="1:8" ht="15" customHeight="1">
      <c r="A50" s="22" t="s">
        <v>243</v>
      </c>
      <c r="B50" s="16">
        <v>254.93</v>
      </c>
      <c r="C50" s="16">
        <v>195.86</v>
      </c>
      <c r="D50" s="16">
        <v>162.44999999999999</v>
      </c>
      <c r="E50" s="16">
        <v>138.19</v>
      </c>
      <c r="F50" s="16">
        <v>113.36</v>
      </c>
      <c r="G50" s="17">
        <v>87.64</v>
      </c>
      <c r="H50" s="17">
        <v>63.95</v>
      </c>
    </row>
    <row r="51" spans="1:8" ht="15" customHeight="1">
      <c r="A51" s="13" t="s">
        <v>244</v>
      </c>
      <c r="B51" s="17">
        <v>17.09</v>
      </c>
      <c r="C51" s="17">
        <v>9.18</v>
      </c>
      <c r="D51" s="17">
        <v>6.4</v>
      </c>
      <c r="E51" s="17">
        <v>6.09</v>
      </c>
      <c r="F51" s="17">
        <v>6.73</v>
      </c>
      <c r="G51" s="17">
        <v>31.44</v>
      </c>
      <c r="H51" s="17">
        <v>26.55</v>
      </c>
    </row>
    <row r="52" spans="1:8" ht="15" customHeight="1">
      <c r="A52" s="13" t="s">
        <v>245</v>
      </c>
      <c r="B52" s="16">
        <v>237.84</v>
      </c>
      <c r="C52" s="16">
        <v>186.68</v>
      </c>
      <c r="D52" s="16">
        <v>156.04</v>
      </c>
      <c r="E52" s="16">
        <v>132.1</v>
      </c>
      <c r="F52" s="16">
        <v>106.63</v>
      </c>
      <c r="G52" s="17">
        <v>56.2</v>
      </c>
      <c r="H52" s="17">
        <v>37.4</v>
      </c>
    </row>
    <row r="53" spans="1:8" ht="15" customHeight="1">
      <c r="A53" s="22" t="s">
        <v>246</v>
      </c>
      <c r="B53" s="16">
        <v>171.19</v>
      </c>
      <c r="C53" s="17">
        <v>24.08</v>
      </c>
      <c r="D53" s="17">
        <v>46.11</v>
      </c>
      <c r="E53" s="16">
        <v>458.18</v>
      </c>
      <c r="F53" s="16">
        <v>466.96</v>
      </c>
      <c r="G53" s="17">
        <v>24.42</v>
      </c>
      <c r="H53" s="17">
        <v>24.24</v>
      </c>
    </row>
    <row r="54" spans="1:8" ht="15" customHeight="1">
      <c r="A54" s="13" t="s">
        <v>247</v>
      </c>
      <c r="B54" s="16">
        <v>159.52000000000001</v>
      </c>
      <c r="C54" s="17">
        <v>24.08</v>
      </c>
      <c r="D54" s="17">
        <v>24.14</v>
      </c>
      <c r="E54" s="16">
        <v>386.88</v>
      </c>
      <c r="F54" s="16">
        <v>386.88</v>
      </c>
      <c r="G54" s="17">
        <v>24.42</v>
      </c>
      <c r="H54" s="17">
        <v>24.24</v>
      </c>
    </row>
    <row r="55" spans="1:8" ht="15" customHeight="1">
      <c r="A55" s="13" t="s">
        <v>248</v>
      </c>
      <c r="B55" s="17">
        <v>11.67</v>
      </c>
      <c r="C55" s="15">
        <v>0</v>
      </c>
      <c r="D55" s="17">
        <v>21.96</v>
      </c>
      <c r="E55" s="17">
        <v>71.3</v>
      </c>
      <c r="F55" s="17">
        <v>80.08</v>
      </c>
      <c r="G55" s="15"/>
      <c r="H55" s="15">
        <v>0</v>
      </c>
    </row>
    <row r="56" spans="1:8" ht="15" customHeight="1">
      <c r="A56" s="28" t="s">
        <v>249</v>
      </c>
      <c r="B56" s="15"/>
      <c r="C56" s="15">
        <v>0</v>
      </c>
      <c r="D56" s="17">
        <v>19.54</v>
      </c>
      <c r="E56" s="17">
        <v>44.41</v>
      </c>
      <c r="F56" s="17">
        <v>49.21</v>
      </c>
      <c r="G56" s="15"/>
      <c r="H56" s="15"/>
    </row>
    <row r="57" spans="1:8" ht="15" customHeight="1">
      <c r="A57" s="28" t="s">
        <v>250</v>
      </c>
      <c r="B57" s="17">
        <v>11.67</v>
      </c>
      <c r="C57" s="15"/>
      <c r="D57" s="15"/>
      <c r="E57" s="15"/>
      <c r="F57" s="15"/>
      <c r="G57" s="15"/>
      <c r="H57" s="15"/>
    </row>
    <row r="58" spans="1:8" ht="15" customHeight="1">
      <c r="A58" s="28" t="s">
        <v>251</v>
      </c>
      <c r="B58" s="15">
        <v>0</v>
      </c>
      <c r="C58" s="15">
        <v>0</v>
      </c>
      <c r="D58" s="17">
        <v>2.42</v>
      </c>
      <c r="E58" s="17">
        <v>26.89</v>
      </c>
      <c r="F58" s="17">
        <v>30.88</v>
      </c>
      <c r="G58" s="15"/>
      <c r="H58" s="15"/>
    </row>
    <row r="59" spans="1:8" ht="15" customHeight="1">
      <c r="A59" s="25" t="s">
        <v>252</v>
      </c>
      <c r="B59" s="27">
        <v>3622.99</v>
      </c>
      <c r="C59" s="27">
        <v>3031.36</v>
      </c>
      <c r="D59" s="27">
        <v>2447.59</v>
      </c>
      <c r="E59" s="27">
        <v>2327.63</v>
      </c>
      <c r="F59" s="27">
        <v>2060.84</v>
      </c>
      <c r="G59" s="27">
        <v>1473.42</v>
      </c>
      <c r="H59" s="27">
        <v>655.43</v>
      </c>
    </row>
    <row r="60" spans="1:8" ht="15" customHeight="1">
      <c r="A60" s="23" t="s">
        <v>253</v>
      </c>
      <c r="B60" s="24"/>
      <c r="C60" s="24"/>
      <c r="D60" s="24"/>
      <c r="E60" s="24"/>
      <c r="F60" s="24"/>
      <c r="G60" s="24"/>
      <c r="H60" s="24"/>
    </row>
    <row r="61" spans="1:8" ht="15" customHeight="1">
      <c r="A61" s="25" t="s">
        <v>253</v>
      </c>
      <c r="B61" s="27">
        <v>7603.29</v>
      </c>
      <c r="C61" s="27">
        <v>7091.94</v>
      </c>
      <c r="D61" s="27">
        <v>5607.04</v>
      </c>
      <c r="E61" s="27">
        <v>4942.4799999999996</v>
      </c>
      <c r="F61" s="27">
        <v>4185.22</v>
      </c>
      <c r="G61" s="27">
        <v>3281.35</v>
      </c>
      <c r="H61" s="27">
        <v>2084.71</v>
      </c>
    </row>
    <row r="62" spans="1:8" ht="15" customHeight="1">
      <c r="A62" s="23" t="s">
        <v>254</v>
      </c>
      <c r="B62" s="24"/>
      <c r="C62" s="24"/>
      <c r="D62" s="24"/>
      <c r="E62" s="24"/>
      <c r="F62" s="24"/>
      <c r="G62" s="24"/>
      <c r="H62" s="24"/>
    </row>
    <row r="63" spans="1:8" ht="15" customHeight="1">
      <c r="A63" s="22" t="s">
        <v>255</v>
      </c>
      <c r="B63" s="16">
        <v>886.88</v>
      </c>
      <c r="C63" s="16">
        <v>958.6</v>
      </c>
      <c r="D63" s="16">
        <v>738.97</v>
      </c>
      <c r="E63" s="16">
        <v>764.77</v>
      </c>
      <c r="F63" s="16">
        <v>477.96</v>
      </c>
      <c r="G63" s="16">
        <v>317.37</v>
      </c>
      <c r="H63" s="16">
        <v>310.95999999999998</v>
      </c>
    </row>
    <row r="64" spans="1:8" ht="15" customHeight="1">
      <c r="A64" s="13" t="s">
        <v>256</v>
      </c>
      <c r="B64" s="16">
        <v>271.41000000000003</v>
      </c>
      <c r="C64" s="16">
        <v>348.44</v>
      </c>
      <c r="D64" s="16">
        <v>172.73</v>
      </c>
      <c r="E64" s="16">
        <v>289.73</v>
      </c>
      <c r="F64" s="16">
        <v>172.25</v>
      </c>
      <c r="G64" s="17">
        <v>80</v>
      </c>
      <c r="H64" s="17">
        <v>95.53</v>
      </c>
    </row>
    <row r="65" spans="1:8" ht="15" customHeight="1">
      <c r="A65" s="13" t="s">
        <v>257</v>
      </c>
      <c r="B65" s="16">
        <v>615.48</v>
      </c>
      <c r="C65" s="16">
        <v>610.16</v>
      </c>
      <c r="D65" s="16">
        <v>566.24</v>
      </c>
      <c r="E65" s="16">
        <v>475.05</v>
      </c>
      <c r="F65" s="16">
        <v>305.70999999999998</v>
      </c>
      <c r="G65" s="16">
        <v>237.37</v>
      </c>
      <c r="H65" s="16">
        <v>215.42</v>
      </c>
    </row>
    <row r="66" spans="1:8" ht="15" customHeight="1">
      <c r="A66" s="22" t="s">
        <v>258</v>
      </c>
      <c r="B66" s="17">
        <v>12.4</v>
      </c>
      <c r="C66" s="17">
        <v>10.8</v>
      </c>
      <c r="D66" s="17">
        <v>8.6</v>
      </c>
      <c r="E66" s="17">
        <v>4</v>
      </c>
      <c r="F66" s="15"/>
      <c r="G66" s="15"/>
      <c r="H66" s="15"/>
    </row>
    <row r="67" spans="1:8" ht="15" customHeight="1">
      <c r="A67" s="13" t="s">
        <v>259</v>
      </c>
      <c r="B67" s="17">
        <v>12.4</v>
      </c>
      <c r="C67" s="17">
        <v>10.8</v>
      </c>
      <c r="D67" s="17">
        <v>8.6</v>
      </c>
      <c r="E67" s="17">
        <v>4</v>
      </c>
      <c r="F67" s="15"/>
      <c r="G67" s="15"/>
      <c r="H67" s="15"/>
    </row>
    <row r="68" spans="1:8" ht="15" customHeight="1">
      <c r="A68" s="22" t="s">
        <v>260</v>
      </c>
      <c r="B68" s="17">
        <v>74.64</v>
      </c>
      <c r="C68" s="17">
        <v>2.87</v>
      </c>
      <c r="D68" s="17">
        <v>25.63</v>
      </c>
      <c r="E68" s="17">
        <v>18.989999999999998</v>
      </c>
      <c r="F68" s="17">
        <v>18.77</v>
      </c>
      <c r="G68" s="17">
        <v>1.92</v>
      </c>
      <c r="H68" s="17">
        <v>1.04</v>
      </c>
    </row>
    <row r="69" spans="1:8" ht="15" customHeight="1">
      <c r="A69" s="22" t="s">
        <v>261</v>
      </c>
      <c r="B69" s="16">
        <v>183.13</v>
      </c>
      <c r="C69" s="17">
        <v>12.1</v>
      </c>
      <c r="D69" s="16">
        <v>174.22</v>
      </c>
      <c r="E69" s="16">
        <v>133.85</v>
      </c>
      <c r="F69" s="17">
        <v>8.36</v>
      </c>
      <c r="G69" s="17">
        <v>26.44</v>
      </c>
      <c r="H69" s="17">
        <v>67.41</v>
      </c>
    </row>
    <row r="70" spans="1:8" ht="15" customHeight="1">
      <c r="A70" s="22" t="s">
        <v>262</v>
      </c>
      <c r="B70" s="16">
        <v>275.14999999999998</v>
      </c>
      <c r="C70" s="16">
        <v>249.27</v>
      </c>
      <c r="D70" s="16">
        <v>207.97</v>
      </c>
      <c r="E70" s="16">
        <v>189</v>
      </c>
      <c r="F70" s="16">
        <v>166.09</v>
      </c>
      <c r="G70" s="16">
        <v>128.5</v>
      </c>
      <c r="H70" s="15"/>
    </row>
    <row r="71" spans="1:8" ht="15" customHeight="1">
      <c r="A71" s="22" t="s">
        <v>263</v>
      </c>
      <c r="B71" s="16">
        <v>407.43</v>
      </c>
      <c r="C71" s="16">
        <v>397.62</v>
      </c>
      <c r="D71" s="16">
        <v>336.81</v>
      </c>
      <c r="E71" s="16">
        <v>294.73</v>
      </c>
      <c r="F71" s="16">
        <v>212.01</v>
      </c>
      <c r="G71" s="16">
        <v>146.19999999999999</v>
      </c>
      <c r="H71" s="16">
        <v>121.07</v>
      </c>
    </row>
    <row r="72" spans="1:8" ht="15" customHeight="1">
      <c r="A72" s="13" t="s">
        <v>264</v>
      </c>
      <c r="B72" s="15"/>
      <c r="C72" s="15"/>
      <c r="D72" s="15"/>
      <c r="E72" s="15"/>
      <c r="F72" s="15"/>
      <c r="G72" s="17">
        <v>12.71</v>
      </c>
      <c r="H72" s="17">
        <v>8.0500000000000007</v>
      </c>
    </row>
    <row r="73" spans="1:8" ht="15" customHeight="1">
      <c r="A73" s="13" t="s">
        <v>265</v>
      </c>
      <c r="B73" s="17">
        <v>73.89</v>
      </c>
      <c r="C73" s="17">
        <v>61.63</v>
      </c>
      <c r="D73" s="17">
        <v>55.53</v>
      </c>
      <c r="E73" s="17">
        <v>41.69</v>
      </c>
      <c r="F73" s="17">
        <v>32.56</v>
      </c>
      <c r="G73" s="17">
        <v>12.9</v>
      </c>
      <c r="H73" s="17">
        <v>11.32</v>
      </c>
    </row>
    <row r="74" spans="1:8" ht="15" customHeight="1">
      <c r="A74" s="13" t="s">
        <v>266</v>
      </c>
      <c r="B74" s="16">
        <v>333.54</v>
      </c>
      <c r="C74" s="16">
        <v>335.99</v>
      </c>
      <c r="D74" s="16">
        <v>281.27999999999997</v>
      </c>
      <c r="E74" s="16">
        <v>253.04</v>
      </c>
      <c r="F74" s="16">
        <v>179.45</v>
      </c>
      <c r="G74" s="16">
        <v>120.6</v>
      </c>
      <c r="H74" s="16">
        <v>101.71</v>
      </c>
    </row>
    <row r="75" spans="1:8" ht="15" customHeight="1">
      <c r="A75" s="25" t="s">
        <v>267</v>
      </c>
      <c r="B75" s="27">
        <v>1839.63</v>
      </c>
      <c r="C75" s="27">
        <v>1631.26</v>
      </c>
      <c r="D75" s="27">
        <v>1492.2</v>
      </c>
      <c r="E75" s="27">
        <v>1405.33</v>
      </c>
      <c r="F75" s="27">
        <v>883.18</v>
      </c>
      <c r="G75" s="27">
        <v>620.41999999999996</v>
      </c>
      <c r="H75" s="27">
        <v>500.48</v>
      </c>
    </row>
    <row r="76" spans="1:8" ht="15" customHeight="1">
      <c r="A76" s="23" t="s">
        <v>268</v>
      </c>
      <c r="B76" s="24"/>
      <c r="C76" s="24"/>
      <c r="D76" s="24"/>
      <c r="E76" s="24"/>
      <c r="F76" s="24"/>
      <c r="G76" s="24"/>
      <c r="H76" s="24"/>
    </row>
    <row r="77" spans="1:8" ht="15" customHeight="1">
      <c r="A77" s="22" t="s">
        <v>269</v>
      </c>
      <c r="B77" s="17">
        <v>98.19</v>
      </c>
      <c r="C77" s="17">
        <v>29.52</v>
      </c>
      <c r="D77" s="17">
        <v>55.08</v>
      </c>
      <c r="E77" s="17">
        <v>53.35</v>
      </c>
      <c r="F77" s="17">
        <v>58.76</v>
      </c>
      <c r="G77" s="17">
        <v>43.43</v>
      </c>
      <c r="H77" s="17">
        <v>14.25</v>
      </c>
    </row>
    <row r="78" spans="1:8" ht="15" customHeight="1">
      <c r="A78" s="13" t="s">
        <v>270</v>
      </c>
      <c r="B78" s="17">
        <v>98.19</v>
      </c>
      <c r="C78" s="17">
        <v>29.52</v>
      </c>
      <c r="D78" s="17">
        <v>55.08</v>
      </c>
      <c r="E78" s="17">
        <v>53.35</v>
      </c>
      <c r="F78" s="17">
        <v>58.76</v>
      </c>
      <c r="G78" s="17">
        <v>43.43</v>
      </c>
      <c r="H78" s="17">
        <v>14.25</v>
      </c>
    </row>
    <row r="79" spans="1:8" ht="15" customHeight="1">
      <c r="A79" s="22" t="s">
        <v>271</v>
      </c>
      <c r="B79" s="16">
        <v>1300.6400000000001</v>
      </c>
      <c r="C79" s="16">
        <v>1154.01</v>
      </c>
      <c r="D79" s="16">
        <v>862.36</v>
      </c>
      <c r="E79" s="16">
        <v>692.06</v>
      </c>
      <c r="F79" s="16">
        <v>632.59</v>
      </c>
      <c r="G79" s="16">
        <v>611.46</v>
      </c>
      <c r="H79" s="15"/>
    </row>
    <row r="80" spans="1:8" ht="15" customHeight="1">
      <c r="A80" s="22" t="s">
        <v>272</v>
      </c>
      <c r="B80" s="17">
        <v>40.79</v>
      </c>
      <c r="C80" s="17">
        <v>45.07</v>
      </c>
      <c r="D80" s="17">
        <v>48.6</v>
      </c>
      <c r="E80" s="17">
        <v>51.69</v>
      </c>
      <c r="F80" s="17">
        <v>52.13</v>
      </c>
      <c r="G80" s="17">
        <v>53.82</v>
      </c>
      <c r="H80" s="16">
        <v>124.01</v>
      </c>
    </row>
    <row r="81" spans="1:8" ht="15" customHeight="1">
      <c r="A81" s="13" t="s">
        <v>273</v>
      </c>
      <c r="B81" s="17">
        <v>40.79</v>
      </c>
      <c r="C81" s="17">
        <v>45.07</v>
      </c>
      <c r="D81" s="17">
        <v>48.6</v>
      </c>
      <c r="E81" s="17">
        <v>51.69</v>
      </c>
      <c r="F81" s="17">
        <v>52.13</v>
      </c>
      <c r="G81" s="17">
        <v>53.82</v>
      </c>
      <c r="H81" s="16">
        <v>124.01</v>
      </c>
    </row>
    <row r="82" spans="1:8" ht="15" customHeight="1">
      <c r="A82" s="22" t="s">
        <v>274</v>
      </c>
      <c r="B82" s="16">
        <v>1439.62</v>
      </c>
      <c r="C82" s="16">
        <v>1228.5999999999999</v>
      </c>
      <c r="D82" s="16">
        <v>966.04</v>
      </c>
      <c r="E82" s="16">
        <v>797.1</v>
      </c>
      <c r="F82" s="16">
        <v>743.47</v>
      </c>
      <c r="G82" s="16">
        <v>708.72</v>
      </c>
      <c r="H82" s="16">
        <v>138.26</v>
      </c>
    </row>
    <row r="83" spans="1:8" ht="15" customHeight="1">
      <c r="A83" s="23" t="s">
        <v>275</v>
      </c>
      <c r="B83" s="24"/>
      <c r="C83" s="24"/>
      <c r="D83" s="24"/>
      <c r="E83" s="24"/>
      <c r="F83" s="24"/>
      <c r="G83" s="24"/>
      <c r="H83" s="24"/>
    </row>
    <row r="84" spans="1:8" ht="15" customHeight="1">
      <c r="A84" s="25" t="s">
        <v>275</v>
      </c>
      <c r="B84" s="27">
        <v>3279.25</v>
      </c>
      <c r="C84" s="27">
        <v>2859.86</v>
      </c>
      <c r="D84" s="27">
        <v>2458.2399999999998</v>
      </c>
      <c r="E84" s="27">
        <v>2202.4299999999998</v>
      </c>
      <c r="F84" s="27">
        <v>1626.65</v>
      </c>
      <c r="G84" s="27">
        <v>1329.14</v>
      </c>
      <c r="H84" s="27">
        <v>638.74</v>
      </c>
    </row>
    <row r="85" spans="1:8" ht="15" customHeight="1">
      <c r="A85" s="23" t="s">
        <v>276</v>
      </c>
      <c r="B85" s="24"/>
      <c r="C85" s="24"/>
      <c r="D85" s="24"/>
      <c r="E85" s="24"/>
      <c r="F85" s="24"/>
      <c r="G85" s="24"/>
      <c r="H85" s="24"/>
    </row>
    <row r="86" spans="1:8" ht="15" customHeight="1">
      <c r="A86" s="22" t="s">
        <v>277</v>
      </c>
      <c r="B86" s="16">
        <v>4324.05</v>
      </c>
      <c r="C86" s="16">
        <v>4232.08</v>
      </c>
      <c r="D86" s="16">
        <v>3148.8</v>
      </c>
      <c r="E86" s="16">
        <v>2740.05</v>
      </c>
      <c r="F86" s="16">
        <v>2558.5700000000002</v>
      </c>
      <c r="G86" s="16">
        <v>1952.22</v>
      </c>
      <c r="H86" s="16">
        <v>1445.98</v>
      </c>
    </row>
    <row r="87" spans="1:8" ht="15" customHeight="1">
      <c r="A87" s="13" t="s">
        <v>278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</row>
    <row r="88" spans="1:8" ht="15" customHeight="1">
      <c r="A88" s="28" t="s">
        <v>279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</row>
    <row r="89" spans="1:8" ht="15" customHeight="1">
      <c r="A89" s="13" t="s">
        <v>280</v>
      </c>
      <c r="B89" s="16">
        <v>4324.05</v>
      </c>
      <c r="C89" s="16">
        <v>4232.08</v>
      </c>
      <c r="D89" s="16">
        <v>3148.8</v>
      </c>
      <c r="E89" s="16">
        <v>2740.05</v>
      </c>
      <c r="F89" s="16">
        <v>2558.5700000000002</v>
      </c>
      <c r="G89" s="16">
        <v>1952.22</v>
      </c>
      <c r="H89" s="16">
        <v>1445.98</v>
      </c>
    </row>
    <row r="90" spans="1:8" ht="15" customHeight="1">
      <c r="A90" s="28" t="s">
        <v>281</v>
      </c>
      <c r="B90" s="16">
        <v>638.77</v>
      </c>
      <c r="C90" s="16">
        <v>575.98</v>
      </c>
      <c r="D90" s="16">
        <v>475.26</v>
      </c>
      <c r="E90" s="16">
        <v>423.12</v>
      </c>
      <c r="F90" s="16">
        <v>389.29</v>
      </c>
      <c r="G90" s="16">
        <v>356.16</v>
      </c>
      <c r="H90" s="16">
        <v>315.89</v>
      </c>
    </row>
    <row r="91" spans="1:8" ht="15" customHeight="1">
      <c r="A91" s="29" t="s">
        <v>282</v>
      </c>
      <c r="B91" s="17">
        <v>0.57999999999999996</v>
      </c>
      <c r="C91" s="17">
        <v>0.61</v>
      </c>
      <c r="D91" s="17">
        <v>0.61</v>
      </c>
      <c r="E91" s="17">
        <v>0.62</v>
      </c>
      <c r="F91" s="17">
        <v>0.63</v>
      </c>
      <c r="G91" s="17">
        <v>0.62</v>
      </c>
      <c r="H91" s="17">
        <v>0.61</v>
      </c>
    </row>
    <row r="92" spans="1:8" ht="15" customHeight="1">
      <c r="A92" s="29" t="s">
        <v>283</v>
      </c>
      <c r="B92" s="16">
        <v>638.19000000000005</v>
      </c>
      <c r="C92" s="16">
        <v>575.37</v>
      </c>
      <c r="D92" s="16">
        <v>474.65</v>
      </c>
      <c r="E92" s="16">
        <v>422.51</v>
      </c>
      <c r="F92" s="16">
        <v>388.67</v>
      </c>
      <c r="G92" s="16">
        <v>355.54</v>
      </c>
      <c r="H92" s="16">
        <v>315.29000000000002</v>
      </c>
    </row>
    <row r="93" spans="1:8" ht="15" customHeight="1">
      <c r="A93" s="28" t="s">
        <v>284</v>
      </c>
      <c r="B93" s="16">
        <v>3685.28</v>
      </c>
      <c r="C93" s="16">
        <v>3656.11</v>
      </c>
      <c r="D93" s="16">
        <v>2673.54</v>
      </c>
      <c r="E93" s="16">
        <v>2316.92</v>
      </c>
      <c r="F93" s="16">
        <v>2169.27</v>
      </c>
      <c r="G93" s="16">
        <v>1596.06</v>
      </c>
      <c r="H93" s="16">
        <v>1130.08</v>
      </c>
    </row>
    <row r="94" spans="1:8" ht="15" customHeight="1">
      <c r="A94" s="29" t="s">
        <v>285</v>
      </c>
      <c r="B94" s="16">
        <v>4109.72</v>
      </c>
      <c r="C94" s="16">
        <v>3920.36</v>
      </c>
      <c r="D94" s="16">
        <v>2926.13</v>
      </c>
      <c r="E94" s="16">
        <v>2512.84</v>
      </c>
      <c r="F94" s="16">
        <v>2346.4299999999998</v>
      </c>
      <c r="G94" s="16">
        <v>1820.64</v>
      </c>
      <c r="H94" s="16">
        <v>1346.89</v>
      </c>
    </row>
    <row r="95" spans="1:8" ht="15" customHeight="1">
      <c r="A95" s="29" t="s">
        <v>286</v>
      </c>
      <c r="B95" s="18">
        <v>-424.44</v>
      </c>
      <c r="C95" s="18">
        <v>-264.26</v>
      </c>
      <c r="D95" s="18">
        <v>-252.58</v>
      </c>
      <c r="E95" s="18">
        <v>-195.92</v>
      </c>
      <c r="F95" s="18">
        <v>-177.15</v>
      </c>
      <c r="G95" s="18">
        <v>-224.58</v>
      </c>
      <c r="H95" s="18">
        <v>-216.81</v>
      </c>
    </row>
    <row r="96" spans="1:8" ht="15" customHeight="1">
      <c r="A96" s="29" t="s">
        <v>287</v>
      </c>
      <c r="B96" s="32">
        <v>0</v>
      </c>
      <c r="C96" s="15"/>
      <c r="D96" s="15"/>
      <c r="E96" s="15"/>
      <c r="F96" s="15"/>
      <c r="G96" s="15"/>
      <c r="H96" s="15"/>
    </row>
    <row r="97" spans="1:8" ht="15" customHeight="1">
      <c r="A97" s="13" t="s">
        <v>288</v>
      </c>
      <c r="B97" s="16">
        <v>4324.05</v>
      </c>
      <c r="C97" s="16">
        <v>4232.08</v>
      </c>
      <c r="D97" s="16">
        <v>3148.8</v>
      </c>
      <c r="E97" s="16">
        <v>2740.05</v>
      </c>
      <c r="F97" s="16">
        <v>2558.5700000000002</v>
      </c>
      <c r="G97" s="16">
        <v>1952.22</v>
      </c>
      <c r="H97" s="16">
        <v>1445.98</v>
      </c>
    </row>
    <row r="98" spans="1:8" ht="15" customHeight="1">
      <c r="A98" s="23" t="s">
        <v>289</v>
      </c>
      <c r="B98" s="24"/>
      <c r="C98" s="24"/>
      <c r="D98" s="24"/>
      <c r="E98" s="24"/>
      <c r="F98" s="24"/>
      <c r="G98" s="24"/>
      <c r="H98" s="24"/>
    </row>
    <row r="99" spans="1:8" ht="15" customHeight="1">
      <c r="A99" s="25" t="s">
        <v>290</v>
      </c>
      <c r="B99" s="27">
        <v>4324.05</v>
      </c>
      <c r="C99" s="27">
        <v>4232.08</v>
      </c>
      <c r="D99" s="27">
        <v>3148.8</v>
      </c>
      <c r="E99" s="27">
        <v>2740.05</v>
      </c>
      <c r="F99" s="27">
        <v>2558.5700000000002</v>
      </c>
      <c r="G99" s="27">
        <v>1952.22</v>
      </c>
      <c r="H99" s="27">
        <v>1445.98</v>
      </c>
    </row>
    <row r="100" spans="1:8" ht="15" customHeight="1">
      <c r="A100" s="23" t="s">
        <v>291</v>
      </c>
      <c r="B100" s="24"/>
      <c r="C100" s="24"/>
      <c r="D100" s="24"/>
      <c r="E100" s="24"/>
      <c r="F100" s="24"/>
      <c r="G100" s="24"/>
      <c r="H100" s="24"/>
    </row>
    <row r="101" spans="1:8" ht="15" customHeight="1">
      <c r="A101" s="25" t="s">
        <v>292</v>
      </c>
      <c r="B101" s="27">
        <v>7603.29</v>
      </c>
      <c r="C101" s="27">
        <v>7091.94</v>
      </c>
      <c r="D101" s="27">
        <v>5607.04</v>
      </c>
      <c r="E101" s="27">
        <v>4942.4799999999996</v>
      </c>
      <c r="F101" s="27">
        <v>4185.22</v>
      </c>
      <c r="G101" s="27">
        <v>3281.35</v>
      </c>
      <c r="H101" s="27">
        <v>2084.71</v>
      </c>
    </row>
    <row r="102" spans="1:8" ht="15" customHeight="1">
      <c r="A102" s="23" t="s">
        <v>293</v>
      </c>
      <c r="B102" s="24"/>
      <c r="C102" s="24"/>
      <c r="D102" s="24"/>
      <c r="E102" s="24"/>
      <c r="F102" s="24"/>
      <c r="G102" s="24"/>
      <c r="H102" s="24"/>
    </row>
    <row r="103" spans="1:8" ht="15" customHeight="1">
      <c r="A103" s="22" t="s">
        <v>294</v>
      </c>
      <c r="B103" s="16">
        <v>126.4</v>
      </c>
      <c r="C103" s="16">
        <v>131.34</v>
      </c>
      <c r="D103" s="16">
        <v>132.44</v>
      </c>
      <c r="E103" s="16">
        <v>133.69999999999999</v>
      </c>
      <c r="F103" s="16">
        <v>135.56</v>
      </c>
      <c r="G103" s="16">
        <v>136.58000000000001</v>
      </c>
      <c r="H103" s="16">
        <v>140.26</v>
      </c>
    </row>
    <row r="104" spans="1:8" ht="15" customHeight="1">
      <c r="A104" s="13" t="s">
        <v>295</v>
      </c>
      <c r="B104" s="16">
        <v>126.4</v>
      </c>
      <c r="C104" s="16">
        <v>131.34</v>
      </c>
      <c r="D104" s="16">
        <v>132.44</v>
      </c>
      <c r="E104" s="16">
        <v>133.69999999999999</v>
      </c>
      <c r="F104" s="16">
        <v>135.56</v>
      </c>
      <c r="G104" s="16">
        <v>136.58000000000001</v>
      </c>
      <c r="H104" s="16">
        <v>140.26</v>
      </c>
    </row>
    <row r="105" spans="1:8" ht="15" customHeight="1">
      <c r="A105" s="13" t="s">
        <v>296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</row>
    <row r="106" spans="1:8" ht="15" customHeight="1">
      <c r="A106" s="22" t="s">
        <v>297</v>
      </c>
      <c r="B106" s="16">
        <v>400</v>
      </c>
      <c r="C106" s="16">
        <v>400</v>
      </c>
      <c r="D106" s="16">
        <v>400</v>
      </c>
      <c r="E106" s="16">
        <v>400</v>
      </c>
      <c r="F106" s="16">
        <v>400</v>
      </c>
      <c r="G106" s="16">
        <v>400</v>
      </c>
      <c r="H106" s="16">
        <v>400</v>
      </c>
    </row>
    <row r="107" spans="1:8" ht="15" customHeight="1">
      <c r="A107" s="22" t="s">
        <v>297</v>
      </c>
      <c r="B107" s="17">
        <v>60</v>
      </c>
      <c r="C107" s="17">
        <v>60</v>
      </c>
      <c r="D107" s="17">
        <v>60</v>
      </c>
      <c r="E107" s="17">
        <v>60</v>
      </c>
      <c r="F107" s="17">
        <v>60</v>
      </c>
      <c r="G107" s="17">
        <v>60</v>
      </c>
      <c r="H107" s="17">
        <v>60</v>
      </c>
    </row>
    <row r="108" spans="1:8" ht="15" customHeight="1">
      <c r="A108" s="22" t="s">
        <v>297</v>
      </c>
      <c r="B108" s="17">
        <v>60</v>
      </c>
      <c r="C108" s="17">
        <v>60</v>
      </c>
      <c r="D108" s="17">
        <v>60</v>
      </c>
      <c r="E108" s="17">
        <v>60</v>
      </c>
      <c r="F108" s="17">
        <v>60</v>
      </c>
      <c r="G108" s="17">
        <v>60</v>
      </c>
      <c r="H108" s="17">
        <v>60</v>
      </c>
    </row>
    <row r="109" spans="1:8" ht="15" customHeight="1">
      <c r="A109" s="22" t="s">
        <v>298</v>
      </c>
      <c r="B109" s="16">
        <v>116.17</v>
      </c>
      <c r="C109" s="16">
        <v>121.11</v>
      </c>
      <c r="D109" s="16">
        <v>122.21</v>
      </c>
      <c r="E109" s="16">
        <v>123.3</v>
      </c>
      <c r="F109" s="16">
        <v>125.15</v>
      </c>
      <c r="G109" s="16">
        <v>124.12</v>
      </c>
      <c r="H109" s="16">
        <v>121.6</v>
      </c>
    </row>
    <row r="110" spans="1:8" ht="15" customHeight="1">
      <c r="A110" s="13" t="s">
        <v>299</v>
      </c>
      <c r="B110" s="16">
        <v>116.17</v>
      </c>
      <c r="C110" s="16">
        <v>121.11</v>
      </c>
      <c r="D110" s="16">
        <v>122.21</v>
      </c>
      <c r="E110" s="16">
        <v>123.3</v>
      </c>
      <c r="F110" s="16">
        <v>125.15</v>
      </c>
      <c r="G110" s="16">
        <v>124.12</v>
      </c>
      <c r="H110" s="16">
        <v>121.6</v>
      </c>
    </row>
    <row r="111" spans="1:8" ht="15" customHeight="1">
      <c r="A111" s="13" t="s">
        <v>300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</row>
    <row r="112" spans="1:8" ht="15" customHeight="1">
      <c r="A112" s="22" t="s">
        <v>298</v>
      </c>
      <c r="B112" s="17">
        <v>5.12</v>
      </c>
      <c r="C112" s="17">
        <v>5.12</v>
      </c>
      <c r="D112" s="17">
        <v>5.12</v>
      </c>
      <c r="E112" s="17">
        <v>5.2</v>
      </c>
      <c r="F112" s="17">
        <v>5.2</v>
      </c>
      <c r="G112" s="17">
        <v>6.23</v>
      </c>
      <c r="H112" s="17">
        <v>9.33</v>
      </c>
    </row>
    <row r="113" spans="1:8" ht="15" customHeight="1">
      <c r="A113" s="13" t="s">
        <v>299</v>
      </c>
      <c r="B113" s="17">
        <v>5.12</v>
      </c>
      <c r="C113" s="17">
        <v>5.12</v>
      </c>
      <c r="D113" s="17">
        <v>5.12</v>
      </c>
      <c r="E113" s="17">
        <v>5.2</v>
      </c>
      <c r="F113" s="17">
        <v>5.2</v>
      </c>
      <c r="G113" s="17">
        <v>6.23</v>
      </c>
      <c r="H113" s="17">
        <v>9.33</v>
      </c>
    </row>
    <row r="114" spans="1:8" ht="15" customHeight="1">
      <c r="A114" s="13" t="s">
        <v>300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</row>
    <row r="115" spans="1:8" ht="15" customHeight="1">
      <c r="A115" s="22" t="s">
        <v>298</v>
      </c>
      <c r="B115" s="17">
        <v>5.12</v>
      </c>
      <c r="C115" s="17">
        <v>5.12</v>
      </c>
      <c r="D115" s="17">
        <v>5.12</v>
      </c>
      <c r="E115" s="17">
        <v>5.2</v>
      </c>
      <c r="F115" s="17">
        <v>5.2</v>
      </c>
      <c r="G115" s="17">
        <v>6.23</v>
      </c>
      <c r="H115" s="17">
        <v>9.33</v>
      </c>
    </row>
    <row r="116" spans="1:8" ht="15" customHeight="1">
      <c r="A116" s="13" t="s">
        <v>299</v>
      </c>
      <c r="B116" s="17">
        <v>5.12</v>
      </c>
      <c r="C116" s="17">
        <v>5.12</v>
      </c>
      <c r="D116" s="17">
        <v>5.12</v>
      </c>
      <c r="E116" s="17">
        <v>5.2</v>
      </c>
      <c r="F116" s="17">
        <v>5.2</v>
      </c>
      <c r="G116" s="17">
        <v>6.23</v>
      </c>
      <c r="H116" s="17">
        <v>9.33</v>
      </c>
    </row>
    <row r="117" spans="1:8" ht="15" customHeight="1">
      <c r="A117" s="13" t="s">
        <v>300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</row>
    <row r="118" spans="1:8" ht="15" customHeight="1">
      <c r="A118" s="23" t="s">
        <v>301</v>
      </c>
      <c r="B118" s="24"/>
      <c r="C118" s="24"/>
      <c r="D118" s="24"/>
      <c r="E118" s="24"/>
      <c r="F118" s="24"/>
      <c r="G118" s="24"/>
      <c r="H118" s="24"/>
    </row>
    <row r="119" spans="1:8" ht="15" customHeight="1">
      <c r="A119" s="22" t="s">
        <v>302</v>
      </c>
      <c r="B119" s="17">
        <v>0.92</v>
      </c>
      <c r="C119" s="17">
        <v>0.92</v>
      </c>
      <c r="D119" s="17">
        <v>0.92</v>
      </c>
      <c r="E119" s="17">
        <v>0.92</v>
      </c>
      <c r="F119" s="17">
        <v>0.92</v>
      </c>
      <c r="G119" s="17">
        <v>0.91</v>
      </c>
      <c r="H119" s="17">
        <v>0.87</v>
      </c>
    </row>
    <row r="120" spans="1:8" ht="15" customHeight="1">
      <c r="A120" s="22" t="s">
        <v>302</v>
      </c>
      <c r="B120" s="17">
        <v>0.04</v>
      </c>
      <c r="C120" s="17">
        <v>0.04</v>
      </c>
      <c r="D120" s="17">
        <v>0.04</v>
      </c>
      <c r="E120" s="17">
        <v>0.04</v>
      </c>
      <c r="F120" s="17">
        <v>0.04</v>
      </c>
      <c r="G120" s="17">
        <v>0.05</v>
      </c>
      <c r="H120" s="17">
        <v>7.0000000000000007E-2</v>
      </c>
    </row>
    <row r="121" spans="1:8" ht="15" customHeight="1">
      <c r="A121" s="22" t="s">
        <v>302</v>
      </c>
      <c r="B121" s="17">
        <v>0.04</v>
      </c>
      <c r="C121" s="17">
        <v>0.04</v>
      </c>
      <c r="D121" s="17">
        <v>0.04</v>
      </c>
      <c r="E121" s="17">
        <v>0.04</v>
      </c>
      <c r="F121" s="17">
        <v>0.04</v>
      </c>
      <c r="G121" s="17">
        <v>0.05</v>
      </c>
      <c r="H121" s="17">
        <v>7.0000000000000007E-2</v>
      </c>
    </row>
    <row r="122" spans="1:8" ht="15" customHeight="1">
      <c r="A122" s="23" t="s">
        <v>303</v>
      </c>
      <c r="B122" s="24"/>
      <c r="C122" s="24"/>
      <c r="D122" s="24"/>
      <c r="E122" s="24"/>
      <c r="F122" s="24"/>
      <c r="G122" s="24"/>
      <c r="H122" s="24"/>
    </row>
    <row r="123" spans="1:8" ht="15" customHeight="1">
      <c r="A123" s="22" t="s">
        <v>304</v>
      </c>
      <c r="B123" s="16">
        <v>1416.26</v>
      </c>
      <c r="C123" s="16">
        <v>1265.6099999999999</v>
      </c>
      <c r="D123" s="16">
        <v>969.42</v>
      </c>
      <c r="E123" s="16">
        <v>803.54</v>
      </c>
      <c r="F123" s="16">
        <v>734.84</v>
      </c>
      <c r="G123" s="16">
        <v>689.66</v>
      </c>
      <c r="H123" s="15"/>
    </row>
    <row r="124" spans="1:8" ht="15" customHeight="1">
      <c r="A124" s="13" t="s">
        <v>305</v>
      </c>
      <c r="B124" s="16">
        <v>1416.26</v>
      </c>
      <c r="C124" s="16">
        <v>1265.6099999999999</v>
      </c>
      <c r="D124" s="16">
        <v>969.42</v>
      </c>
      <c r="E124" s="16">
        <v>803.54</v>
      </c>
      <c r="F124" s="16">
        <v>734.84</v>
      </c>
      <c r="G124" s="16">
        <v>689.66</v>
      </c>
      <c r="H124" s="15"/>
    </row>
    <row r="125" spans="1:8" ht="15" customHeight="1">
      <c r="A125" s="22" t="s">
        <v>306</v>
      </c>
      <c r="B125" s="16">
        <v>1780.62</v>
      </c>
      <c r="C125" s="16">
        <v>1545.81</v>
      </c>
      <c r="D125" s="16">
        <v>1269.6099999999999</v>
      </c>
      <c r="E125" s="16">
        <v>927.71</v>
      </c>
      <c r="F125" s="16">
        <v>745.69</v>
      </c>
      <c r="G125" s="16">
        <v>671.69</v>
      </c>
      <c r="H125" s="15"/>
    </row>
    <row r="126" spans="1:8" ht="15" customHeight="1">
      <c r="A126" s="23" t="s">
        <v>307</v>
      </c>
      <c r="B126" s="24"/>
      <c r="C126" s="24"/>
      <c r="D126" s="24"/>
      <c r="E126" s="24"/>
      <c r="F126" s="24"/>
      <c r="G126" s="24"/>
      <c r="H126" s="24"/>
    </row>
    <row r="127" spans="1:8" ht="15" customHeight="1">
      <c r="A127" s="22" t="s">
        <v>308</v>
      </c>
      <c r="B127" s="16">
        <v>1575.79</v>
      </c>
      <c r="C127" s="16">
        <v>1403.28</v>
      </c>
      <c r="D127" s="16">
        <v>1070.33</v>
      </c>
      <c r="E127" s="16">
        <v>881.05</v>
      </c>
      <c r="F127" s="16">
        <v>798.68</v>
      </c>
      <c r="G127" s="16">
        <v>739.96</v>
      </c>
      <c r="H127" s="15"/>
    </row>
    <row r="128" spans="1:8" ht="15" customHeight="1">
      <c r="A128" s="13" t="s">
        <v>309</v>
      </c>
      <c r="B128" s="16">
        <v>275.14999999999998</v>
      </c>
      <c r="C128" s="16">
        <v>249.27</v>
      </c>
      <c r="D128" s="16">
        <v>207.97</v>
      </c>
      <c r="E128" s="16">
        <v>189</v>
      </c>
      <c r="F128" s="16">
        <v>166.09</v>
      </c>
      <c r="G128" s="16">
        <v>128.5</v>
      </c>
      <c r="H128" s="15"/>
    </row>
    <row r="129" spans="1:8" ht="15" customHeight="1">
      <c r="A129" s="13" t="s">
        <v>310</v>
      </c>
      <c r="B129" s="16">
        <v>1300.6400000000001</v>
      </c>
      <c r="C129" s="16">
        <v>1154.01</v>
      </c>
      <c r="D129" s="16">
        <v>862.36</v>
      </c>
      <c r="E129" s="16">
        <v>692.06</v>
      </c>
      <c r="F129" s="16">
        <v>632.59</v>
      </c>
      <c r="G129" s="16">
        <v>611.46</v>
      </c>
      <c r="H129" s="15"/>
    </row>
    <row r="130" spans="1:8" ht="15" customHeight="1">
      <c r="A130" s="22" t="s">
        <v>311</v>
      </c>
      <c r="B130" s="16">
        <v>1575.79</v>
      </c>
      <c r="C130" s="16">
        <v>1403.28</v>
      </c>
      <c r="D130" s="16">
        <v>1070.33</v>
      </c>
      <c r="E130" s="16">
        <v>881.05</v>
      </c>
      <c r="F130" s="16">
        <v>798.68</v>
      </c>
      <c r="G130" s="16">
        <v>739.96</v>
      </c>
      <c r="H130" s="15"/>
    </row>
    <row r="131" spans="1:8" ht="15" customHeight="1">
      <c r="A131" s="22" t="s">
        <v>312</v>
      </c>
      <c r="B131" s="16">
        <v>1588.19</v>
      </c>
      <c r="C131" s="16">
        <v>1414.08</v>
      </c>
      <c r="D131" s="16">
        <v>1078.93</v>
      </c>
      <c r="E131" s="16">
        <v>885.05</v>
      </c>
      <c r="F131" s="16">
        <v>798.68</v>
      </c>
      <c r="G131" s="16">
        <v>739.96</v>
      </c>
      <c r="H131" s="15"/>
    </row>
    <row r="132" spans="1:8" ht="15" customHeight="1">
      <c r="A132" s="23" t="s">
        <v>313</v>
      </c>
      <c r="B132" s="24"/>
      <c r="C132" s="24"/>
      <c r="D132" s="24"/>
      <c r="E132" s="24"/>
      <c r="F132" s="24"/>
      <c r="G132" s="24"/>
      <c r="H132" s="24"/>
    </row>
    <row r="133" spans="1:8" ht="15" customHeight="1">
      <c r="A133" s="22" t="s">
        <v>314</v>
      </c>
      <c r="B133" s="17">
        <v>76.849999999999994</v>
      </c>
      <c r="C133" s="17">
        <v>0.65</v>
      </c>
      <c r="D133" s="17">
        <v>16.71</v>
      </c>
      <c r="E133" s="17">
        <v>19.079999999999998</v>
      </c>
      <c r="F133" s="17">
        <v>17.36</v>
      </c>
      <c r="G133" s="17">
        <v>0.15</v>
      </c>
      <c r="H133" s="17">
        <v>0.52</v>
      </c>
    </row>
    <row r="134" spans="1:8" ht="15" customHeight="1">
      <c r="A134" s="22" t="s">
        <v>315</v>
      </c>
      <c r="B134" s="16">
        <v>120.17</v>
      </c>
      <c r="C134" s="16">
        <v>124.77</v>
      </c>
      <c r="D134" s="16">
        <v>132.91</v>
      </c>
      <c r="E134" s="17">
        <v>77</v>
      </c>
      <c r="F134" s="17">
        <v>75.709999999999994</v>
      </c>
      <c r="G134" s="17">
        <v>40.22</v>
      </c>
      <c r="H134" s="17">
        <v>35.79</v>
      </c>
    </row>
    <row r="135" spans="1:8" ht="15" customHeight="1">
      <c r="A135" s="22" t="s">
        <v>316</v>
      </c>
      <c r="B135" s="16">
        <v>281.86</v>
      </c>
      <c r="C135" s="16">
        <v>242.51</v>
      </c>
      <c r="D135" s="16">
        <v>242.41</v>
      </c>
      <c r="E135" s="16">
        <v>170.74</v>
      </c>
      <c r="F135" s="16">
        <v>125.63</v>
      </c>
      <c r="G135" s="17">
        <v>87.64</v>
      </c>
      <c r="H135" s="17">
        <v>63.95</v>
      </c>
    </row>
    <row r="136" spans="1:8" ht="15" customHeight="1">
      <c r="A136" s="22" t="s">
        <v>317</v>
      </c>
      <c r="B136" s="16">
        <v>183.13</v>
      </c>
      <c r="C136" s="17">
        <v>12.1</v>
      </c>
      <c r="D136" s="16">
        <v>174.22</v>
      </c>
      <c r="E136" s="16">
        <v>133.85</v>
      </c>
      <c r="F136" s="17">
        <v>8.36</v>
      </c>
      <c r="G136" s="17">
        <v>26.44</v>
      </c>
      <c r="H136" s="17">
        <v>67.41</v>
      </c>
    </row>
    <row r="137" spans="1:8" ht="15" customHeight="1">
      <c r="A137" s="22" t="s">
        <v>318</v>
      </c>
      <c r="B137" s="16">
        <v>886.88</v>
      </c>
      <c r="C137" s="16">
        <v>958.6</v>
      </c>
      <c r="D137" s="16">
        <v>738.97</v>
      </c>
      <c r="E137" s="16">
        <v>764.77</v>
      </c>
      <c r="F137" s="16">
        <v>477.96</v>
      </c>
      <c r="G137" s="16">
        <v>317.37</v>
      </c>
      <c r="H137" s="16">
        <v>310.95999999999998</v>
      </c>
    </row>
    <row r="138" spans="1:8" ht="15" customHeight="1">
      <c r="A138" s="13" t="s">
        <v>319</v>
      </c>
      <c r="B138" s="16">
        <v>271.41000000000003</v>
      </c>
      <c r="C138" s="16">
        <v>348.44</v>
      </c>
      <c r="D138" s="16">
        <v>172.73</v>
      </c>
      <c r="E138" s="16">
        <v>289.73</v>
      </c>
      <c r="F138" s="16">
        <v>172.25</v>
      </c>
      <c r="G138" s="17">
        <v>80</v>
      </c>
      <c r="H138" s="17">
        <v>95.53</v>
      </c>
    </row>
    <row r="139" spans="1:8" ht="15" customHeight="1">
      <c r="A139" s="13" t="s">
        <v>320</v>
      </c>
      <c r="B139" s="16">
        <v>615.48</v>
      </c>
      <c r="C139" s="16">
        <v>610.16</v>
      </c>
      <c r="D139" s="16">
        <v>566.24</v>
      </c>
      <c r="E139" s="16">
        <v>475.05</v>
      </c>
      <c r="F139" s="16">
        <v>305.70999999999998</v>
      </c>
      <c r="G139" s="16">
        <v>237.37</v>
      </c>
      <c r="H139" s="16">
        <v>215.42</v>
      </c>
    </row>
    <row r="140" spans="1:8" ht="15" customHeight="1">
      <c r="A140" s="22" t="s">
        <v>321</v>
      </c>
      <c r="B140" s="17">
        <v>74.64</v>
      </c>
      <c r="C140" s="17">
        <v>2.87</v>
      </c>
      <c r="D140" s="17">
        <v>25.63</v>
      </c>
      <c r="E140" s="17">
        <v>18.989999999999998</v>
      </c>
      <c r="F140" s="17">
        <v>18.77</v>
      </c>
      <c r="G140" s="17">
        <v>1.92</v>
      </c>
      <c r="H140" s="17">
        <v>1.04</v>
      </c>
    </row>
    <row r="141" spans="1:8" ht="15" customHeight="1">
      <c r="A141" s="23" t="s">
        <v>322</v>
      </c>
      <c r="B141" s="24"/>
      <c r="C141" s="24"/>
      <c r="D141" s="24"/>
      <c r="E141" s="24"/>
      <c r="F141" s="24"/>
      <c r="G141" s="24"/>
      <c r="H141" s="24"/>
    </row>
    <row r="142" spans="1:8" ht="15" customHeight="1">
      <c r="A142" s="22" t="s">
        <v>323</v>
      </c>
      <c r="B142" s="18">
        <v>-1971.94</v>
      </c>
      <c r="C142" s="18">
        <v>-2233.17</v>
      </c>
      <c r="D142" s="18">
        <v>-1146.27</v>
      </c>
      <c r="E142" s="18">
        <v>-1255.8699999999999</v>
      </c>
      <c r="F142" s="18">
        <v>-1150.52</v>
      </c>
      <c r="G142" s="18">
        <v>-1093.51</v>
      </c>
      <c r="H142" s="18">
        <v>-881.32</v>
      </c>
    </row>
    <row r="143" spans="1:8" ht="15" customHeight="1">
      <c r="A143" s="22" t="s">
        <v>324</v>
      </c>
      <c r="B143" s="17">
        <v>12.4</v>
      </c>
      <c r="C143" s="17">
        <v>10.8</v>
      </c>
      <c r="D143" s="17">
        <v>8.6</v>
      </c>
      <c r="E143" s="17">
        <v>4</v>
      </c>
      <c r="F143" s="15"/>
      <c r="G143" s="15"/>
      <c r="H143" s="15"/>
    </row>
    <row r="144" spans="1:8" ht="15" customHeight="1">
      <c r="A144" s="22" t="s">
        <v>325</v>
      </c>
      <c r="B144" s="17">
        <v>12.4</v>
      </c>
      <c r="C144" s="17">
        <v>10.8</v>
      </c>
      <c r="D144" s="17">
        <v>8.6</v>
      </c>
      <c r="E144" s="17">
        <v>4</v>
      </c>
      <c r="F144" s="15"/>
      <c r="G144" s="15"/>
      <c r="H144" s="15"/>
    </row>
    <row r="145" spans="1:8" ht="15" customHeight="1">
      <c r="A145" s="22" t="s">
        <v>326</v>
      </c>
      <c r="B145" s="16">
        <v>393.94</v>
      </c>
      <c r="C145" s="15"/>
      <c r="D145" s="15"/>
      <c r="E145" s="15"/>
      <c r="F145" s="15"/>
      <c r="G145" s="15"/>
      <c r="H145" s="15"/>
    </row>
    <row r="146" spans="1:8" ht="15" customHeight="1">
      <c r="A146" s="22" t="s">
        <v>327</v>
      </c>
      <c r="B146" s="16">
        <v>441.4</v>
      </c>
      <c r="C146" s="16">
        <v>432</v>
      </c>
      <c r="D146" s="16">
        <v>433.9</v>
      </c>
      <c r="E146" s="16">
        <v>436.2</v>
      </c>
      <c r="F146" s="15"/>
      <c r="G146" s="15"/>
      <c r="H146" s="15"/>
    </row>
    <row r="147" spans="1:8" ht="15" customHeight="1">
      <c r="A147" s="23" t="s">
        <v>328</v>
      </c>
      <c r="B147" s="24"/>
      <c r="C147" s="24"/>
      <c r="D147" s="24"/>
      <c r="E147" s="24"/>
      <c r="F147" s="24"/>
      <c r="G147" s="24"/>
      <c r="H147" s="24"/>
    </row>
    <row r="148" spans="1:8" ht="15" customHeight="1">
      <c r="A148" s="22" t="s">
        <v>329</v>
      </c>
      <c r="B148" s="17">
        <v>6.68</v>
      </c>
      <c r="C148" s="17">
        <v>6.95</v>
      </c>
      <c r="D148" s="17">
        <v>5.64</v>
      </c>
      <c r="E148" s="17">
        <v>5.43</v>
      </c>
      <c r="F148" s="17">
        <v>5.59</v>
      </c>
      <c r="G148" s="15"/>
      <c r="H148" s="15"/>
    </row>
    <row r="149" spans="1:8" ht="15" customHeight="1">
      <c r="A149" s="22" t="s">
        <v>330</v>
      </c>
      <c r="B149" s="30">
        <v>0</v>
      </c>
      <c r="C149" s="30">
        <v>0</v>
      </c>
      <c r="D149" s="30">
        <v>0</v>
      </c>
      <c r="E149" s="30">
        <v>0</v>
      </c>
      <c r="F149" s="30">
        <v>0</v>
      </c>
      <c r="G149" s="30"/>
      <c r="H149" s="30"/>
    </row>
    <row r="150" spans="1:8" ht="15" customHeight="1">
      <c r="A150" s="23" t="s">
        <v>55</v>
      </c>
      <c r="B150" s="24"/>
      <c r="C150" s="24"/>
      <c r="D150" s="24"/>
      <c r="E150" s="24"/>
      <c r="F150" s="24"/>
      <c r="G150" s="24"/>
      <c r="H150" s="24"/>
    </row>
    <row r="151" spans="1:8" ht="15" customHeight="1">
      <c r="A151" s="22" t="s">
        <v>331</v>
      </c>
      <c r="B151" s="16">
        <v>156.34</v>
      </c>
      <c r="C151" s="16">
        <v>185.35</v>
      </c>
      <c r="D151" s="16">
        <v>512.39</v>
      </c>
      <c r="E151" s="21">
        <v>-50.35</v>
      </c>
      <c r="F151" s="17">
        <v>90.68</v>
      </c>
      <c r="G151" s="17">
        <v>94.02</v>
      </c>
      <c r="H151" s="17">
        <v>47.49</v>
      </c>
    </row>
    <row r="152" spans="1:8" ht="15" customHeight="1">
      <c r="A152" s="22" t="s">
        <v>332</v>
      </c>
      <c r="B152" s="16">
        <v>5459.44</v>
      </c>
      <c r="C152" s="16">
        <v>4823.8900000000003</v>
      </c>
      <c r="D152" s="16">
        <v>4428.03</v>
      </c>
      <c r="E152" s="16">
        <v>3295.73</v>
      </c>
      <c r="F152" s="16">
        <v>2647.82</v>
      </c>
      <c r="G152" s="16">
        <v>2163.4299999999998</v>
      </c>
      <c r="H152" s="16">
        <v>1179.1500000000001</v>
      </c>
    </row>
    <row r="153" spans="1:8" ht="15" customHeight="1">
      <c r="A153" s="22" t="s">
        <v>333</v>
      </c>
      <c r="B153" s="16">
        <v>1984.34</v>
      </c>
      <c r="C153" s="16">
        <v>2243.9699999999998</v>
      </c>
      <c r="D153" s="16">
        <v>1154.8699999999999</v>
      </c>
      <c r="E153" s="16">
        <v>1259.8699999999999</v>
      </c>
      <c r="F153" s="16">
        <v>1150.52</v>
      </c>
      <c r="G153" s="16">
        <v>1093.51</v>
      </c>
      <c r="H153" s="16">
        <v>881.32</v>
      </c>
    </row>
    <row r="154" spans="1:8" ht="15" customHeight="1">
      <c r="A154" s="22" t="s">
        <v>334</v>
      </c>
      <c r="B154" s="16">
        <v>1984.34</v>
      </c>
      <c r="C154" s="16">
        <v>2243.9699999999998</v>
      </c>
      <c r="D154" s="16">
        <v>1154.8699999999999</v>
      </c>
      <c r="E154" s="16">
        <v>1259.8699999999999</v>
      </c>
      <c r="F154" s="16">
        <v>1150.52</v>
      </c>
      <c r="G154" s="16">
        <v>1093.51</v>
      </c>
      <c r="H154" s="16">
        <v>881.32</v>
      </c>
    </row>
    <row r="155" spans="1:8" ht="15" customHeight="1">
      <c r="A155" s="22" t="s">
        <v>335</v>
      </c>
      <c r="B155" s="17">
        <v>12.4</v>
      </c>
      <c r="C155" s="17">
        <v>10.8</v>
      </c>
      <c r="D155" s="17">
        <v>8.6</v>
      </c>
      <c r="E155" s="17">
        <v>4</v>
      </c>
      <c r="F155" s="15">
        <v>0</v>
      </c>
      <c r="G155" s="15">
        <v>0</v>
      </c>
      <c r="H155" s="15">
        <v>0</v>
      </c>
    </row>
    <row r="156" spans="1:8" ht="15" customHeight="1">
      <c r="A156" s="22" t="s">
        <v>336</v>
      </c>
      <c r="B156" s="16">
        <v>2352.11</v>
      </c>
      <c r="C156" s="16">
        <v>1998.91</v>
      </c>
      <c r="D156" s="16">
        <v>2002.53</v>
      </c>
      <c r="E156" s="16">
        <v>1484.18</v>
      </c>
      <c r="F156" s="16">
        <v>1408.05</v>
      </c>
      <c r="G156" s="16">
        <v>858.71</v>
      </c>
      <c r="H156" s="16">
        <v>564.66</v>
      </c>
    </row>
    <row r="157" spans="1:8" ht="15" customHeight="1">
      <c r="A157" s="22" t="s">
        <v>337</v>
      </c>
      <c r="B157" s="16">
        <v>2352.11</v>
      </c>
      <c r="C157" s="16">
        <v>1998.91</v>
      </c>
      <c r="D157" s="16">
        <v>2002.53</v>
      </c>
      <c r="E157" s="16">
        <v>1484.18</v>
      </c>
      <c r="F157" s="16">
        <v>1408.05</v>
      </c>
      <c r="G157" s="16">
        <v>858.71</v>
      </c>
      <c r="H157" s="16">
        <v>564.66</v>
      </c>
    </row>
    <row r="158" spans="1:8" ht="15" customHeight="1">
      <c r="A158" s="22" t="s">
        <v>338</v>
      </c>
      <c r="B158" s="16">
        <v>172.08</v>
      </c>
      <c r="C158" s="17">
        <v>91.16</v>
      </c>
      <c r="D158" s="16">
        <v>110.61</v>
      </c>
      <c r="E158" s="17">
        <v>95.04</v>
      </c>
      <c r="F158" s="17">
        <v>91.32</v>
      </c>
      <c r="G158" s="17">
        <v>56.33</v>
      </c>
      <c r="H158" s="17">
        <v>25.57</v>
      </c>
    </row>
    <row r="159" spans="1:8" ht="15" customHeight="1">
      <c r="A159" s="22" t="s">
        <v>339</v>
      </c>
      <c r="B159" s="16">
        <v>4324.05</v>
      </c>
      <c r="C159" s="16">
        <v>4232.08</v>
      </c>
      <c r="D159" s="16">
        <v>3148.8</v>
      </c>
      <c r="E159" s="16">
        <v>2740.05</v>
      </c>
      <c r="F159" s="16">
        <v>2558.5700000000002</v>
      </c>
      <c r="G159" s="16">
        <v>1952.22</v>
      </c>
      <c r="H159" s="16">
        <v>1445.98</v>
      </c>
    </row>
    <row r="160" spans="1:8" ht="15" customHeight="1">
      <c r="A160" s="22" t="s">
        <v>340</v>
      </c>
      <c r="B160" s="16">
        <v>4152.8599999999997</v>
      </c>
      <c r="C160" s="16">
        <v>4208</v>
      </c>
      <c r="D160" s="16">
        <v>3102.69</v>
      </c>
      <c r="E160" s="16">
        <v>2281.87</v>
      </c>
      <c r="F160" s="16">
        <v>2091.61</v>
      </c>
      <c r="G160" s="16">
        <v>1927.8</v>
      </c>
      <c r="H160" s="16">
        <v>1421.74</v>
      </c>
    </row>
    <row r="161" spans="1:8" ht="15" customHeight="1">
      <c r="A161" s="22" t="s">
        <v>341</v>
      </c>
      <c r="B161" s="16">
        <v>4152.8599999999997</v>
      </c>
      <c r="C161" s="16">
        <v>4208</v>
      </c>
      <c r="D161" s="16">
        <v>3102.69</v>
      </c>
      <c r="E161" s="16">
        <v>2281.87</v>
      </c>
      <c r="F161" s="16">
        <v>2091.61</v>
      </c>
      <c r="G161" s="16">
        <v>1927.8</v>
      </c>
      <c r="H161" s="16">
        <v>1421.74</v>
      </c>
    </row>
    <row r="162" spans="1:8" ht="15" customHeight="1">
      <c r="A162" s="22" t="s">
        <v>342</v>
      </c>
      <c r="B162" s="16">
        <v>4336.45</v>
      </c>
      <c r="C162" s="16">
        <v>4242.88</v>
      </c>
      <c r="D162" s="16">
        <v>3157.4</v>
      </c>
      <c r="E162" s="16">
        <v>2744.05</v>
      </c>
      <c r="F162" s="16">
        <v>2558.5700000000002</v>
      </c>
      <c r="G162" s="16">
        <v>1952.22</v>
      </c>
      <c r="H162" s="16">
        <v>1445.98</v>
      </c>
    </row>
    <row r="163" spans="1:8" ht="15" customHeight="1">
      <c r="A163" s="22" t="s">
        <v>343</v>
      </c>
      <c r="B163" s="16">
        <v>4336.45</v>
      </c>
      <c r="C163" s="16">
        <v>4242.88</v>
      </c>
      <c r="D163" s="16">
        <v>3157.4</v>
      </c>
      <c r="E163" s="16">
        <v>2744.05</v>
      </c>
      <c r="F163" s="16">
        <v>2558.5700000000002</v>
      </c>
      <c r="G163" s="16">
        <v>1952.22</v>
      </c>
      <c r="H163" s="16">
        <v>1445.98</v>
      </c>
    </row>
    <row r="164" spans="1:8" ht="15" customHeight="1">
      <c r="A164" s="22" t="s">
        <v>344</v>
      </c>
      <c r="B164" s="16">
        <v>5763.66</v>
      </c>
      <c r="C164" s="16">
        <v>5460.68</v>
      </c>
      <c r="D164" s="16">
        <v>4114.84</v>
      </c>
      <c r="E164" s="16">
        <v>3537.14</v>
      </c>
      <c r="F164" s="16">
        <v>3302.04</v>
      </c>
      <c r="G164" s="16">
        <v>2660.94</v>
      </c>
      <c r="H164" s="16">
        <v>1584.23</v>
      </c>
    </row>
    <row r="165" spans="1:8" ht="15" customHeight="1">
      <c r="A165" s="22" t="s">
        <v>345</v>
      </c>
      <c r="B165" s="16">
        <v>3463.47</v>
      </c>
      <c r="C165" s="16">
        <v>3007.28</v>
      </c>
      <c r="D165" s="16">
        <v>2423.44</v>
      </c>
      <c r="E165" s="16">
        <v>1940.75</v>
      </c>
      <c r="F165" s="16">
        <v>1673.96</v>
      </c>
      <c r="G165" s="16">
        <v>1448.99</v>
      </c>
      <c r="H165" s="16">
        <v>631.19000000000005</v>
      </c>
    </row>
    <row r="166" spans="1:8" ht="15" customHeight="1">
      <c r="A166" s="22" t="s">
        <v>346</v>
      </c>
      <c r="B166" s="15"/>
      <c r="C166" s="15"/>
      <c r="D166" s="15"/>
      <c r="E166" s="15"/>
      <c r="F166" s="15"/>
      <c r="G166" s="17">
        <v>12.71</v>
      </c>
      <c r="H166" s="17">
        <v>8.0500000000000007</v>
      </c>
    </row>
    <row r="167" spans="1:8" ht="15" customHeight="1">
      <c r="A167" s="22" t="s">
        <v>347</v>
      </c>
      <c r="B167" s="16">
        <v>2140.67</v>
      </c>
      <c r="C167" s="16">
        <v>2429.3200000000002</v>
      </c>
      <c r="D167" s="16">
        <v>1667.26</v>
      </c>
      <c r="E167" s="16">
        <v>1209.52</v>
      </c>
      <c r="F167" s="16">
        <v>1241.2</v>
      </c>
      <c r="G167" s="16">
        <v>1187.52</v>
      </c>
      <c r="H167" s="16">
        <v>928.81</v>
      </c>
    </row>
    <row r="168" spans="1:8" ht="15" customHeight="1">
      <c r="A168" s="22" t="s">
        <v>348</v>
      </c>
      <c r="B168" s="16">
        <v>156.34</v>
      </c>
      <c r="C168" s="16">
        <v>185.35</v>
      </c>
      <c r="D168" s="16">
        <v>512.39</v>
      </c>
      <c r="E168" s="21">
        <v>-50.35</v>
      </c>
      <c r="F168" s="17">
        <v>90.68</v>
      </c>
      <c r="G168" s="17">
        <v>94.02</v>
      </c>
      <c r="H168" s="17">
        <v>47.49</v>
      </c>
    </row>
    <row r="169" spans="1:8" ht="15" customHeight="1">
      <c r="A169" s="22" t="s">
        <v>349</v>
      </c>
      <c r="B169" s="16">
        <v>2521.17</v>
      </c>
      <c r="C169" s="16">
        <v>2780.29</v>
      </c>
      <c r="D169" s="16">
        <v>1924.1</v>
      </c>
      <c r="E169" s="16">
        <v>1471.7</v>
      </c>
      <c r="F169" s="16">
        <v>1440.94</v>
      </c>
      <c r="G169" s="16">
        <v>1333.72</v>
      </c>
      <c r="H169" s="16">
        <v>1049.8699999999999</v>
      </c>
    </row>
    <row r="170" spans="1:8" ht="15" customHeight="1">
      <c r="A170" s="22" t="s">
        <v>350</v>
      </c>
      <c r="B170" s="16">
        <v>4324.05</v>
      </c>
      <c r="C170" s="16">
        <v>4232.08</v>
      </c>
      <c r="D170" s="16">
        <v>3148.8</v>
      </c>
      <c r="E170" s="16">
        <v>2740.05</v>
      </c>
      <c r="F170" s="16">
        <v>2558.5700000000002</v>
      </c>
      <c r="G170" s="16">
        <v>1952.22</v>
      </c>
      <c r="H170" s="16">
        <v>1445.98</v>
      </c>
    </row>
    <row r="171" spans="1:8" ht="15" customHeight="1">
      <c r="A171" s="23" t="s">
        <v>351</v>
      </c>
      <c r="B171" s="24"/>
      <c r="C171" s="24"/>
      <c r="D171" s="24"/>
      <c r="E171" s="24"/>
      <c r="F171" s="24"/>
      <c r="G171" s="24"/>
      <c r="H171" s="24"/>
    </row>
    <row r="172" spans="1:8" ht="15" customHeight="1">
      <c r="A172" s="22" t="s">
        <v>352</v>
      </c>
      <c r="B172" s="16">
        <v>1200</v>
      </c>
      <c r="C172" s="16">
        <v>1300</v>
      </c>
      <c r="D172" s="16">
        <v>1300</v>
      </c>
      <c r="E172" s="16">
        <v>1000</v>
      </c>
      <c r="F172" s="16">
        <v>1000</v>
      </c>
      <c r="G172" s="16">
        <v>900</v>
      </c>
      <c r="H172" s="16">
        <v>850</v>
      </c>
    </row>
    <row r="173" spans="1:8" ht="15" customHeight="1">
      <c r="A173" s="23" t="s">
        <v>353</v>
      </c>
      <c r="B173" s="24"/>
      <c r="C173" s="24"/>
      <c r="D173" s="24"/>
      <c r="E173" s="24"/>
      <c r="F173" s="24"/>
      <c r="G173" s="24"/>
      <c r="H173" s="24"/>
    </row>
    <row r="174" spans="1:8" ht="15" customHeight="1">
      <c r="A174" s="22" t="s">
        <v>354</v>
      </c>
      <c r="B174" s="16">
        <v>1575.79</v>
      </c>
      <c r="C174" s="16">
        <v>1403.28</v>
      </c>
      <c r="D174" s="16">
        <v>1070.33</v>
      </c>
      <c r="E174" s="16">
        <v>881.05</v>
      </c>
      <c r="F174" s="16">
        <v>798.68</v>
      </c>
      <c r="G174" s="16">
        <v>739.96</v>
      </c>
      <c r="H174" s="16">
        <v>783.91</v>
      </c>
    </row>
    <row r="175" spans="1:8" ht="15" customHeight="1">
      <c r="A175" s="13" t="s">
        <v>355</v>
      </c>
      <c r="B175" s="16">
        <v>336.52</v>
      </c>
      <c r="C175" s="16">
        <v>300.38</v>
      </c>
      <c r="D175" s="16">
        <v>238.34</v>
      </c>
      <c r="E175" s="16">
        <v>210.96</v>
      </c>
      <c r="F175" s="16">
        <v>189.91</v>
      </c>
      <c r="G175" s="16">
        <v>152.44</v>
      </c>
      <c r="H175" s="16">
        <v>169.82</v>
      </c>
    </row>
    <row r="176" spans="1:8" ht="15" customHeight="1">
      <c r="A176" s="13" t="s">
        <v>356</v>
      </c>
      <c r="B176" s="16">
        <v>314.02999999999997</v>
      </c>
      <c r="C176" s="16">
        <v>287.22000000000003</v>
      </c>
      <c r="D176" s="16">
        <v>265.79000000000002</v>
      </c>
      <c r="E176" s="16">
        <v>199.27</v>
      </c>
      <c r="F176" s="16">
        <v>177.82</v>
      </c>
      <c r="G176" s="16">
        <v>161.52000000000001</v>
      </c>
      <c r="H176" s="16">
        <v>147.54</v>
      </c>
    </row>
    <row r="177" spans="1:8" ht="15" customHeight="1">
      <c r="A177" s="13" t="s">
        <v>357</v>
      </c>
      <c r="B177" s="16">
        <v>299.20999999999998</v>
      </c>
      <c r="C177" s="16">
        <v>232.51</v>
      </c>
      <c r="D177" s="16">
        <v>197.93</v>
      </c>
      <c r="E177" s="16">
        <v>177.61</v>
      </c>
      <c r="F177" s="16">
        <v>151.66999999999999</v>
      </c>
      <c r="G177" s="16">
        <v>138.19</v>
      </c>
      <c r="H177" s="16">
        <v>123.03</v>
      </c>
    </row>
    <row r="178" spans="1:8" ht="15" customHeight="1">
      <c r="A178" s="13" t="s">
        <v>358</v>
      </c>
      <c r="B178" s="16">
        <v>243.2</v>
      </c>
      <c r="C178" s="16">
        <v>214.52</v>
      </c>
      <c r="D178" s="16">
        <v>143.6</v>
      </c>
      <c r="E178" s="16">
        <v>117.84</v>
      </c>
      <c r="F178" s="16">
        <v>127.83</v>
      </c>
      <c r="G178" s="16">
        <v>111.88</v>
      </c>
      <c r="H178" s="17">
        <v>99.47</v>
      </c>
    </row>
    <row r="179" spans="1:8" ht="15" customHeight="1">
      <c r="A179" s="13" t="s">
        <v>359</v>
      </c>
      <c r="B179" s="16">
        <v>182.85</v>
      </c>
      <c r="C179" s="16">
        <v>158.25</v>
      </c>
      <c r="D179" s="16">
        <v>117.64</v>
      </c>
      <c r="E179" s="17">
        <v>72.59</v>
      </c>
      <c r="F179" s="17">
        <v>71.67</v>
      </c>
      <c r="G179" s="17">
        <v>87.28</v>
      </c>
      <c r="H179" s="17">
        <v>73.209999999999994</v>
      </c>
    </row>
    <row r="180" spans="1:8" ht="15" customHeight="1">
      <c r="A180" s="13" t="s">
        <v>360</v>
      </c>
      <c r="B180" s="16">
        <v>469.81</v>
      </c>
      <c r="C180" s="16">
        <v>452.43</v>
      </c>
      <c r="D180" s="16">
        <v>210.72</v>
      </c>
      <c r="E180" s="16">
        <v>166.54</v>
      </c>
      <c r="F180" s="16">
        <v>155.62</v>
      </c>
      <c r="G180" s="16">
        <v>174.8</v>
      </c>
      <c r="H180" s="16">
        <v>170.83</v>
      </c>
    </row>
    <row r="181" spans="1:8" ht="15" customHeight="1">
      <c r="A181" s="13" t="s">
        <v>361</v>
      </c>
      <c r="B181" s="16">
        <v>269.83</v>
      </c>
      <c r="C181" s="16">
        <v>242.04</v>
      </c>
      <c r="D181" s="16">
        <v>103.69</v>
      </c>
      <c r="E181" s="17">
        <v>63.76</v>
      </c>
      <c r="F181" s="17">
        <v>75.84</v>
      </c>
      <c r="G181" s="17">
        <v>86.14</v>
      </c>
      <c r="H181" s="15"/>
    </row>
    <row r="182" spans="1:8" ht="15" customHeight="1">
      <c r="A182" s="22" t="s">
        <v>362</v>
      </c>
      <c r="B182" s="16">
        <v>613.24</v>
      </c>
      <c r="C182" s="16">
        <v>519.73</v>
      </c>
      <c r="D182" s="16">
        <v>463.72</v>
      </c>
      <c r="E182" s="16">
        <v>376.88</v>
      </c>
      <c r="F182" s="16">
        <v>329.49</v>
      </c>
      <c r="G182" s="16">
        <v>299.70999999999998</v>
      </c>
      <c r="H182" s="16">
        <v>270.57</v>
      </c>
    </row>
    <row r="183" spans="1:8" ht="15" customHeight="1">
      <c r="A183" s="22" t="s">
        <v>363</v>
      </c>
      <c r="B183" s="16">
        <v>426.05</v>
      </c>
      <c r="C183" s="16">
        <v>372.77</v>
      </c>
      <c r="D183" s="16">
        <v>261.24</v>
      </c>
      <c r="E183" s="16">
        <v>190.43</v>
      </c>
      <c r="F183" s="16">
        <v>199.5</v>
      </c>
      <c r="G183" s="16">
        <v>199.15</v>
      </c>
      <c r="H183" s="16">
        <v>172.68</v>
      </c>
    </row>
    <row r="184" spans="1:8" ht="15" customHeight="1">
      <c r="A184" s="22" t="s">
        <v>364</v>
      </c>
      <c r="B184" s="16">
        <v>469.81</v>
      </c>
      <c r="C184" s="16">
        <v>452.43</v>
      </c>
      <c r="D184" s="16">
        <v>210.72</v>
      </c>
      <c r="E184" s="16">
        <v>166.54</v>
      </c>
      <c r="F184" s="16">
        <v>155.62</v>
      </c>
      <c r="G184" s="16">
        <v>174.8</v>
      </c>
      <c r="H184" s="16">
        <v>170.83</v>
      </c>
    </row>
    <row r="185" spans="1:8" ht="15" customHeight="1">
      <c r="A185" s="23" t="s">
        <v>365</v>
      </c>
      <c r="B185" s="24"/>
      <c r="C185" s="24"/>
      <c r="D185" s="24"/>
      <c r="E185" s="24"/>
      <c r="F185" s="24"/>
      <c r="G185" s="24"/>
      <c r="H185" s="24"/>
    </row>
    <row r="186" spans="1:8" ht="15" customHeight="1">
      <c r="A186" s="22" t="s">
        <v>61</v>
      </c>
      <c r="B186" s="15">
        <v>39000</v>
      </c>
      <c r="C186" s="15">
        <v>38000</v>
      </c>
      <c r="D186" s="15">
        <v>34000</v>
      </c>
      <c r="E186" s="15">
        <v>29000</v>
      </c>
      <c r="F186" s="15">
        <v>25000</v>
      </c>
      <c r="G186" s="15">
        <v>19000</v>
      </c>
      <c r="H186" s="15">
        <v>15700</v>
      </c>
    </row>
    <row r="187" spans="1:8" ht="15" customHeight="1">
      <c r="A187" s="22" t="s">
        <v>366</v>
      </c>
      <c r="B187" s="15">
        <v>39000</v>
      </c>
      <c r="C187" s="15">
        <v>38000</v>
      </c>
      <c r="D187" s="15">
        <v>34000</v>
      </c>
      <c r="E187" s="15">
        <v>29000</v>
      </c>
      <c r="F187" s="15">
        <v>25000</v>
      </c>
      <c r="G187" s="15">
        <v>19000</v>
      </c>
      <c r="H187" s="15">
        <v>15700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75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367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45922.395210092604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368</v>
      </c>
      <c r="C15" s="116" t="s">
        <v>368</v>
      </c>
      <c r="D15" s="116" t="s">
        <v>368</v>
      </c>
      <c r="E15" s="116" t="s">
        <v>368</v>
      </c>
      <c r="F15" s="116" t="s">
        <v>368</v>
      </c>
      <c r="G15" s="116" t="s">
        <v>368</v>
      </c>
      <c r="H15" s="116" t="s">
        <v>368</v>
      </c>
    </row>
    <row r="17" spans="1:8">
      <c r="A17" s="8" t="s">
        <v>369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370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371</v>
      </c>
      <c r="B20" s="16">
        <v>1814.62</v>
      </c>
      <c r="C20" s="16">
        <v>1550.19</v>
      </c>
      <c r="D20" s="16">
        <v>854.8</v>
      </c>
      <c r="E20" s="16">
        <v>975.32</v>
      </c>
      <c r="F20" s="16">
        <v>588.91</v>
      </c>
      <c r="G20" s="16">
        <v>645.6</v>
      </c>
      <c r="H20" s="16">
        <v>483.8</v>
      </c>
    </row>
    <row r="21" spans="1:8" ht="15" customHeight="1">
      <c r="A21" s="22" t="s">
        <v>372</v>
      </c>
      <c r="B21" s="16">
        <v>509.99</v>
      </c>
      <c r="C21" s="16">
        <v>546.75</v>
      </c>
      <c r="D21" s="16">
        <v>708.66</v>
      </c>
      <c r="E21" s="16">
        <v>284.64999999999998</v>
      </c>
      <c r="F21" s="16">
        <v>261.97000000000003</v>
      </c>
      <c r="G21" s="16">
        <v>217.79</v>
      </c>
      <c r="H21" s="16">
        <v>146.1</v>
      </c>
    </row>
    <row r="22" spans="1:8" ht="15" customHeight="1">
      <c r="A22" s="13" t="s">
        <v>373</v>
      </c>
      <c r="B22" s="21">
        <v>-36.229999999999997</v>
      </c>
      <c r="C22" s="21">
        <v>-4.84</v>
      </c>
      <c r="D22" s="21">
        <v>-23.34</v>
      </c>
      <c r="E22" s="21">
        <v>-18.7</v>
      </c>
      <c r="F22" s="21">
        <v>-13.7</v>
      </c>
      <c r="G22" s="21">
        <v>-11.94</v>
      </c>
      <c r="H22" s="21">
        <v>-6.86</v>
      </c>
    </row>
    <row r="23" spans="1:8" ht="15" customHeight="1">
      <c r="A23" s="13" t="s">
        <v>374</v>
      </c>
      <c r="B23" s="16">
        <v>446.52</v>
      </c>
      <c r="C23" s="16">
        <v>453.89</v>
      </c>
      <c r="D23" s="16">
        <v>699.7</v>
      </c>
      <c r="E23" s="16">
        <v>224.21</v>
      </c>
      <c r="F23" s="16">
        <v>185.48</v>
      </c>
      <c r="G23" s="16">
        <v>161.93</v>
      </c>
      <c r="H23" s="16">
        <v>122.48</v>
      </c>
    </row>
    <row r="24" spans="1:8" ht="15" customHeight="1">
      <c r="A24" s="28" t="s">
        <v>375</v>
      </c>
      <c r="B24" s="16">
        <v>446.52</v>
      </c>
      <c r="C24" s="16">
        <v>379.38</v>
      </c>
      <c r="D24" s="16">
        <v>291.79000000000002</v>
      </c>
      <c r="E24" s="16">
        <v>224.21</v>
      </c>
      <c r="F24" s="16">
        <v>185.48</v>
      </c>
      <c r="G24" s="16">
        <v>161.93</v>
      </c>
      <c r="H24" s="16">
        <v>122.48</v>
      </c>
    </row>
    <row r="25" spans="1:8" ht="15" customHeight="1">
      <c r="A25" s="28" t="s">
        <v>376</v>
      </c>
      <c r="B25" s="15"/>
      <c r="C25" s="17">
        <v>74.5</v>
      </c>
      <c r="D25" s="16">
        <v>407.91</v>
      </c>
      <c r="E25" s="15"/>
      <c r="F25" s="15"/>
      <c r="G25" s="15"/>
      <c r="H25" s="15"/>
    </row>
    <row r="26" spans="1:8" ht="15" customHeight="1">
      <c r="A26" s="13" t="s">
        <v>377</v>
      </c>
      <c r="B26" s="17">
        <v>57.45</v>
      </c>
      <c r="C26" s="21">
        <v>-28.38</v>
      </c>
      <c r="D26" s="17">
        <v>3.04</v>
      </c>
      <c r="E26" s="21">
        <v>-5.18</v>
      </c>
      <c r="F26" s="17">
        <v>34.909999999999997</v>
      </c>
      <c r="G26" s="17">
        <v>24.13</v>
      </c>
      <c r="H26" s="17">
        <v>16.79</v>
      </c>
    </row>
    <row r="27" spans="1:8" ht="15" customHeight="1">
      <c r="A27" s="13" t="s">
        <v>378</v>
      </c>
      <c r="B27" s="15"/>
      <c r="C27" s="15"/>
      <c r="D27" s="21">
        <v>-10.18</v>
      </c>
      <c r="E27" s="15"/>
      <c r="F27" s="15"/>
      <c r="G27" s="15"/>
      <c r="H27" s="15"/>
    </row>
    <row r="28" spans="1:8" ht="15" customHeight="1">
      <c r="A28" s="13" t="s">
        <v>379</v>
      </c>
      <c r="B28" s="21">
        <v>-47.76</v>
      </c>
      <c r="C28" s="17">
        <v>32.53</v>
      </c>
      <c r="D28" s="21">
        <v>-38.65</v>
      </c>
      <c r="E28" s="17">
        <v>15.19</v>
      </c>
      <c r="F28" s="17">
        <v>4.49</v>
      </c>
      <c r="G28" s="21">
        <v>-1.92</v>
      </c>
      <c r="H28" s="21">
        <v>-14.88</v>
      </c>
    </row>
    <row r="29" spans="1:8" ht="15" customHeight="1">
      <c r="A29" s="13" t="s">
        <v>380</v>
      </c>
      <c r="B29" s="17">
        <v>90.01</v>
      </c>
      <c r="C29" s="17">
        <v>93.56</v>
      </c>
      <c r="D29" s="17">
        <v>78.08</v>
      </c>
      <c r="E29" s="17">
        <v>69.14</v>
      </c>
      <c r="F29" s="17">
        <v>50.8</v>
      </c>
      <c r="G29" s="17">
        <v>45.59</v>
      </c>
      <c r="H29" s="17">
        <v>28.57</v>
      </c>
    </row>
    <row r="30" spans="1:8" ht="15" customHeight="1">
      <c r="A30" s="22" t="s">
        <v>381</v>
      </c>
      <c r="B30" s="16">
        <v>2324.61</v>
      </c>
      <c r="C30" s="16">
        <v>2096.94</v>
      </c>
      <c r="D30" s="16">
        <v>1563.46</v>
      </c>
      <c r="E30" s="16">
        <v>1259.98</v>
      </c>
      <c r="F30" s="16">
        <v>850.89</v>
      </c>
      <c r="G30" s="16">
        <v>863.39</v>
      </c>
      <c r="H30" s="16">
        <v>629.9</v>
      </c>
    </row>
    <row r="31" spans="1:8" ht="15" customHeight="1">
      <c r="A31" s="22" t="s">
        <v>382</v>
      </c>
      <c r="B31" s="21">
        <v>-51.89</v>
      </c>
      <c r="C31" s="16">
        <v>199.22</v>
      </c>
      <c r="D31" s="18">
        <v>-596.99</v>
      </c>
      <c r="E31" s="16">
        <v>129.13</v>
      </c>
      <c r="F31" s="21">
        <v>-47.55</v>
      </c>
      <c r="G31" s="18">
        <v>-194.07</v>
      </c>
      <c r="H31" s="16">
        <v>112.88</v>
      </c>
    </row>
    <row r="32" spans="1:8" ht="15" customHeight="1">
      <c r="A32" s="13" t="s">
        <v>383</v>
      </c>
      <c r="B32" s="17">
        <v>1.63</v>
      </c>
      <c r="C32" s="15"/>
      <c r="D32" s="15"/>
      <c r="E32" s="15"/>
      <c r="F32" s="15"/>
      <c r="G32" s="15"/>
      <c r="H32" s="15"/>
    </row>
    <row r="33" spans="1:8" ht="15" customHeight="1">
      <c r="A33" s="13" t="s">
        <v>384</v>
      </c>
      <c r="B33" s="18">
        <v>-156.08000000000001</v>
      </c>
      <c r="C33" s="17">
        <v>66.58</v>
      </c>
      <c r="D33" s="18">
        <v>-510.51</v>
      </c>
      <c r="E33" s="18">
        <v>-323.61</v>
      </c>
      <c r="F33" s="21">
        <v>-96.55</v>
      </c>
      <c r="G33" s="18">
        <v>-117.59</v>
      </c>
      <c r="H33" s="21">
        <v>-85.94</v>
      </c>
    </row>
    <row r="34" spans="1:8" ht="15" customHeight="1">
      <c r="A34" s="13" t="s">
        <v>385</v>
      </c>
      <c r="B34" s="21">
        <v>-73.819999999999993</v>
      </c>
      <c r="C34" s="17">
        <v>49.08</v>
      </c>
      <c r="D34" s="18">
        <v>-180.53</v>
      </c>
      <c r="E34" s="21">
        <v>-62.3</v>
      </c>
      <c r="F34" s="18">
        <v>-124.96</v>
      </c>
      <c r="G34" s="18">
        <v>-117.38</v>
      </c>
      <c r="H34" s="21">
        <v>-31.09</v>
      </c>
    </row>
    <row r="35" spans="1:8" ht="15" customHeight="1">
      <c r="A35" s="13" t="s">
        <v>386</v>
      </c>
      <c r="B35" s="21">
        <v>-73.2</v>
      </c>
      <c r="C35" s="21">
        <v>-53.28</v>
      </c>
      <c r="D35" s="21">
        <v>-36.520000000000003</v>
      </c>
      <c r="E35" s="21">
        <v>-17.559999999999999</v>
      </c>
      <c r="F35" s="21">
        <v>-49.06</v>
      </c>
      <c r="G35" s="15"/>
      <c r="H35" s="15"/>
    </row>
    <row r="36" spans="1:8" ht="15" customHeight="1">
      <c r="A36" s="13" t="s">
        <v>387</v>
      </c>
      <c r="B36" s="21">
        <v>-57.04</v>
      </c>
      <c r="C36" s="16">
        <v>177.37</v>
      </c>
      <c r="D36" s="18">
        <v>-107.28</v>
      </c>
      <c r="E36" s="16">
        <v>117.66</v>
      </c>
      <c r="F36" s="17">
        <v>82.66</v>
      </c>
      <c r="G36" s="21">
        <v>-14.81</v>
      </c>
      <c r="H36" s="17">
        <v>71.959999999999994</v>
      </c>
    </row>
    <row r="37" spans="1:8" ht="15" customHeight="1">
      <c r="A37" s="13" t="s">
        <v>388</v>
      </c>
      <c r="B37" s="17">
        <v>81.03</v>
      </c>
      <c r="C37" s="21">
        <v>-1.41</v>
      </c>
      <c r="D37" s="16">
        <v>112.62</v>
      </c>
      <c r="E37" s="16">
        <v>179.15</v>
      </c>
      <c r="F37" s="17">
        <v>92.47</v>
      </c>
      <c r="G37" s="17">
        <v>15.73</v>
      </c>
      <c r="H37" s="17">
        <v>45.91</v>
      </c>
    </row>
    <row r="38" spans="1:8" ht="15" customHeight="1">
      <c r="A38" s="13" t="s">
        <v>389</v>
      </c>
      <c r="B38" s="16">
        <v>157.21</v>
      </c>
      <c r="C38" s="18">
        <v>-173.2</v>
      </c>
      <c r="D38" s="17">
        <v>35.99</v>
      </c>
      <c r="E38" s="16">
        <v>120.78</v>
      </c>
      <c r="F38" s="21">
        <v>-24.12</v>
      </c>
      <c r="G38" s="21">
        <v>-34.14</v>
      </c>
      <c r="H38" s="17">
        <v>46.43</v>
      </c>
    </row>
    <row r="39" spans="1:8" ht="15" customHeight="1">
      <c r="A39" s="13" t="s">
        <v>390</v>
      </c>
      <c r="B39" s="17">
        <v>44.9</v>
      </c>
      <c r="C39" s="17">
        <v>96.55</v>
      </c>
      <c r="D39" s="17">
        <v>65.34</v>
      </c>
      <c r="E39" s="16">
        <v>101.51</v>
      </c>
      <c r="F39" s="17">
        <v>58.75</v>
      </c>
      <c r="G39" s="17">
        <v>56.7</v>
      </c>
      <c r="H39" s="17">
        <v>65.61</v>
      </c>
    </row>
    <row r="40" spans="1:8" ht="15" customHeight="1">
      <c r="A40" s="13" t="s">
        <v>391</v>
      </c>
      <c r="B40" s="17">
        <v>23.5</v>
      </c>
      <c r="C40" s="17">
        <v>37.53</v>
      </c>
      <c r="D40" s="17">
        <v>23.91</v>
      </c>
      <c r="E40" s="17">
        <v>13.49</v>
      </c>
      <c r="F40" s="17">
        <v>13.27</v>
      </c>
      <c r="G40" s="17">
        <v>17.420000000000002</v>
      </c>
      <c r="H40" s="15"/>
    </row>
    <row r="41" spans="1:8" ht="15" customHeight="1">
      <c r="A41" s="25" t="s">
        <v>392</v>
      </c>
      <c r="B41" s="27">
        <v>2272.71</v>
      </c>
      <c r="C41" s="27">
        <v>2296.16</v>
      </c>
      <c r="D41" s="27">
        <v>966.46</v>
      </c>
      <c r="E41" s="27">
        <v>1389.11</v>
      </c>
      <c r="F41" s="27">
        <v>803.34</v>
      </c>
      <c r="G41" s="27">
        <v>669.32</v>
      </c>
      <c r="H41" s="27">
        <v>742.78</v>
      </c>
    </row>
    <row r="42" spans="1:8" ht="15" customHeight="1">
      <c r="A42" s="23" t="s">
        <v>393</v>
      </c>
      <c r="B42" s="24"/>
      <c r="C42" s="24"/>
      <c r="D42" s="24"/>
      <c r="E42" s="24"/>
      <c r="F42" s="24"/>
      <c r="G42" s="24"/>
      <c r="H42" s="24"/>
    </row>
    <row r="43" spans="1:8" ht="15" customHeight="1">
      <c r="A43" s="22" t="s">
        <v>394</v>
      </c>
      <c r="B43" s="16">
        <v>689.23</v>
      </c>
      <c r="C43" s="16">
        <v>651.87</v>
      </c>
      <c r="D43" s="16">
        <v>638.66</v>
      </c>
      <c r="E43" s="16">
        <v>394.5</v>
      </c>
      <c r="F43" s="16">
        <v>229.23</v>
      </c>
      <c r="G43" s="16">
        <v>283.05</v>
      </c>
      <c r="H43" s="16">
        <v>225.81</v>
      </c>
    </row>
    <row r="44" spans="1:8" ht="15" customHeight="1">
      <c r="A44" s="13" t="s">
        <v>395</v>
      </c>
      <c r="B44" s="16">
        <v>689.23</v>
      </c>
      <c r="C44" s="16">
        <v>651.87</v>
      </c>
      <c r="D44" s="16">
        <v>638.66</v>
      </c>
      <c r="E44" s="16">
        <v>394.5</v>
      </c>
      <c r="F44" s="16">
        <v>229.23</v>
      </c>
      <c r="G44" s="16">
        <v>283.05</v>
      </c>
      <c r="H44" s="16">
        <v>225.81</v>
      </c>
    </row>
    <row r="45" spans="1:8" ht="15" customHeight="1">
      <c r="A45" s="28" t="s">
        <v>396</v>
      </c>
      <c r="B45" s="16">
        <v>689.23</v>
      </c>
      <c r="C45" s="16">
        <v>651.87</v>
      </c>
      <c r="D45" s="16">
        <v>638.66</v>
      </c>
      <c r="E45" s="16">
        <v>394.5</v>
      </c>
      <c r="F45" s="16">
        <v>229.23</v>
      </c>
      <c r="G45" s="16">
        <v>283.05</v>
      </c>
      <c r="H45" s="16">
        <v>225.81</v>
      </c>
    </row>
    <row r="46" spans="1:8" ht="15" customHeight="1">
      <c r="A46" s="13" t="s">
        <v>397</v>
      </c>
      <c r="B46" s="16">
        <v>689.23</v>
      </c>
      <c r="C46" s="16">
        <v>651.87</v>
      </c>
      <c r="D46" s="16">
        <v>638.66</v>
      </c>
      <c r="E46" s="16">
        <v>394.5</v>
      </c>
      <c r="F46" s="16">
        <v>229.23</v>
      </c>
      <c r="G46" s="16">
        <v>283.05</v>
      </c>
      <c r="H46" s="16">
        <v>225.81</v>
      </c>
    </row>
    <row r="47" spans="1:8" ht="15" customHeight="1">
      <c r="A47" s="22" t="s">
        <v>398</v>
      </c>
      <c r="B47" s="18">
        <v>-154.15</v>
      </c>
      <c r="C47" s="15"/>
      <c r="D47" s="15"/>
      <c r="E47" s="15"/>
      <c r="F47" s="18">
        <v>-452.58</v>
      </c>
      <c r="G47" s="15"/>
      <c r="H47" s="15"/>
    </row>
    <row r="48" spans="1:8" ht="15" customHeight="1">
      <c r="A48" s="13" t="s">
        <v>399</v>
      </c>
      <c r="B48" s="16">
        <v>154.15</v>
      </c>
      <c r="C48" s="15"/>
      <c r="D48" s="15"/>
      <c r="E48" s="15"/>
      <c r="F48" s="16">
        <v>452.58</v>
      </c>
      <c r="G48" s="15"/>
      <c r="H48" s="15"/>
    </row>
    <row r="49" spans="1:8" ht="15" customHeight="1">
      <c r="A49" s="22" t="s">
        <v>400</v>
      </c>
      <c r="B49" s="17">
        <v>50.21</v>
      </c>
      <c r="C49" s="21">
        <v>-1.61</v>
      </c>
      <c r="D49" s="17">
        <v>47.8</v>
      </c>
      <c r="E49" s="21">
        <v>-23.39</v>
      </c>
      <c r="F49" s="21">
        <v>-14.61</v>
      </c>
      <c r="G49" s="17">
        <v>0.35</v>
      </c>
      <c r="H49" s="21">
        <v>-16.22</v>
      </c>
    </row>
    <row r="50" spans="1:8" ht="15" customHeight="1">
      <c r="A50" s="22" t="s">
        <v>401</v>
      </c>
      <c r="B50" s="21">
        <v>-5.01</v>
      </c>
      <c r="C50" s="21">
        <v>-0.66</v>
      </c>
      <c r="D50" s="17">
        <v>20.92</v>
      </c>
      <c r="E50" s="21">
        <v>-10</v>
      </c>
      <c r="F50" s="17">
        <v>0.88</v>
      </c>
      <c r="G50" s="17">
        <v>4.29</v>
      </c>
      <c r="H50" s="21">
        <v>-0.77</v>
      </c>
    </row>
    <row r="51" spans="1:8" ht="15" customHeight="1">
      <c r="A51" s="25" t="s">
        <v>402</v>
      </c>
      <c r="B51" s="33">
        <v>-798.17</v>
      </c>
      <c r="C51" s="33">
        <v>-654.13</v>
      </c>
      <c r="D51" s="33">
        <v>-569.94000000000005</v>
      </c>
      <c r="E51" s="33">
        <v>-427.89</v>
      </c>
      <c r="F51" s="33">
        <v>-695.53</v>
      </c>
      <c r="G51" s="33">
        <v>-278.41000000000003</v>
      </c>
      <c r="H51" s="33">
        <v>-242.79</v>
      </c>
    </row>
    <row r="52" spans="1:8" ht="15" customHeight="1">
      <c r="A52" s="23" t="s">
        <v>403</v>
      </c>
      <c r="B52" s="24"/>
      <c r="C52" s="24"/>
      <c r="D52" s="24"/>
      <c r="E52" s="24"/>
      <c r="F52" s="24"/>
      <c r="G52" s="24"/>
      <c r="H52" s="24"/>
    </row>
    <row r="53" spans="1:8" ht="15" customHeight="1">
      <c r="A53" s="22" t="s">
        <v>404</v>
      </c>
      <c r="B53" s="18">
        <v>-1636.88</v>
      </c>
      <c r="C53" s="18">
        <v>-558.65</v>
      </c>
      <c r="D53" s="18">
        <v>-444</v>
      </c>
      <c r="E53" s="18">
        <v>-812.6</v>
      </c>
      <c r="F53" s="21">
        <v>-63.66</v>
      </c>
      <c r="G53" s="18">
        <v>-173.4</v>
      </c>
      <c r="H53" s="18">
        <v>-598.34</v>
      </c>
    </row>
    <row r="54" spans="1:8" ht="15" customHeight="1">
      <c r="A54" s="13" t="s">
        <v>405</v>
      </c>
      <c r="B54" s="18">
        <v>-1636.88</v>
      </c>
      <c r="C54" s="18">
        <v>-558.65</v>
      </c>
      <c r="D54" s="18">
        <v>-444</v>
      </c>
      <c r="E54" s="18">
        <v>-812.6</v>
      </c>
      <c r="F54" s="21">
        <v>-63.66</v>
      </c>
      <c r="G54" s="18">
        <v>-173.4</v>
      </c>
      <c r="H54" s="18">
        <v>-598.34</v>
      </c>
    </row>
    <row r="55" spans="1:8" ht="15" customHeight="1">
      <c r="A55" s="28" t="s">
        <v>406</v>
      </c>
      <c r="B55" s="18">
        <v>-1636.88</v>
      </c>
      <c r="C55" s="18">
        <v>-558.65</v>
      </c>
      <c r="D55" s="18">
        <v>-444</v>
      </c>
      <c r="E55" s="18">
        <v>-812.6</v>
      </c>
      <c r="F55" s="21">
        <v>-63.66</v>
      </c>
      <c r="G55" s="18">
        <v>-173.4</v>
      </c>
      <c r="H55" s="18">
        <v>-598.34</v>
      </c>
    </row>
    <row r="56" spans="1:8" ht="15" customHeight="1">
      <c r="A56" s="29" t="s">
        <v>407</v>
      </c>
      <c r="B56" s="16">
        <v>1636.88</v>
      </c>
      <c r="C56" s="16">
        <v>558.65</v>
      </c>
      <c r="D56" s="16">
        <v>444</v>
      </c>
      <c r="E56" s="16">
        <v>812.6</v>
      </c>
      <c r="F56" s="17">
        <v>63.66</v>
      </c>
      <c r="G56" s="16">
        <v>173.4</v>
      </c>
      <c r="H56" s="16">
        <v>598.34</v>
      </c>
    </row>
    <row r="57" spans="1:8" ht="15" customHeight="1">
      <c r="A57" s="22" t="s">
        <v>408</v>
      </c>
      <c r="B57" s="21">
        <v>-15.63</v>
      </c>
      <c r="C57" s="17">
        <v>9.82</v>
      </c>
      <c r="D57" s="21">
        <v>-23.49</v>
      </c>
      <c r="E57" s="21">
        <v>-32.380000000000003</v>
      </c>
      <c r="F57" s="21">
        <v>-17.12</v>
      </c>
      <c r="G57" s="21">
        <v>-3.77</v>
      </c>
      <c r="H57" s="17">
        <v>8.1300000000000008</v>
      </c>
    </row>
    <row r="58" spans="1:8" ht="15" customHeight="1">
      <c r="A58" s="25" t="s">
        <v>409</v>
      </c>
      <c r="B58" s="33">
        <v>-1652.51</v>
      </c>
      <c r="C58" s="33">
        <v>-548.83000000000004</v>
      </c>
      <c r="D58" s="33">
        <v>-467.49</v>
      </c>
      <c r="E58" s="33">
        <v>-844.99</v>
      </c>
      <c r="F58" s="34">
        <v>-80.790000000000006</v>
      </c>
      <c r="G58" s="33">
        <v>-177.17</v>
      </c>
      <c r="H58" s="33">
        <v>-590.21</v>
      </c>
    </row>
    <row r="59" spans="1:8" ht="15" customHeight="1">
      <c r="A59" s="23" t="s">
        <v>410</v>
      </c>
      <c r="B59" s="24"/>
      <c r="C59" s="24"/>
      <c r="D59" s="24"/>
      <c r="E59" s="24"/>
      <c r="F59" s="24"/>
      <c r="G59" s="24"/>
      <c r="H59" s="24"/>
    </row>
    <row r="60" spans="1:8" ht="15" customHeight="1">
      <c r="A60" s="22" t="s">
        <v>411</v>
      </c>
      <c r="B60" s="21">
        <v>-81.67</v>
      </c>
      <c r="C60" s="21">
        <v>-4.0999999999999996</v>
      </c>
      <c r="D60" s="21">
        <v>-34.04</v>
      </c>
      <c r="E60" s="21">
        <v>-6.88</v>
      </c>
      <c r="F60" s="17">
        <v>30</v>
      </c>
      <c r="G60" s="21">
        <v>-1.55</v>
      </c>
      <c r="H60" s="21">
        <v>-18.95</v>
      </c>
    </row>
    <row r="61" spans="1:8" ht="15" customHeight="1">
      <c r="A61" s="23" t="s">
        <v>412</v>
      </c>
      <c r="B61" s="24"/>
      <c r="C61" s="24"/>
      <c r="D61" s="24"/>
      <c r="E61" s="24"/>
      <c r="F61" s="24"/>
      <c r="G61" s="24"/>
      <c r="H61" s="24"/>
    </row>
    <row r="62" spans="1:8" ht="15" customHeight="1">
      <c r="A62" s="25" t="s">
        <v>413</v>
      </c>
      <c r="B62" s="33">
        <v>-259.63</v>
      </c>
      <c r="C62" s="27">
        <v>1089.0999999999999</v>
      </c>
      <c r="D62" s="33">
        <v>-105</v>
      </c>
      <c r="E62" s="27">
        <v>109.35</v>
      </c>
      <c r="F62" s="35">
        <v>57.01</v>
      </c>
      <c r="G62" s="27">
        <v>212.19</v>
      </c>
      <c r="H62" s="33">
        <v>-109.18</v>
      </c>
    </row>
    <row r="63" spans="1:8" ht="15" customHeight="1">
      <c r="A63" s="13" t="s">
        <v>414</v>
      </c>
      <c r="B63" s="18">
        <v>-259.63</v>
      </c>
      <c r="C63" s="16">
        <v>1089.0999999999999</v>
      </c>
      <c r="D63" s="18">
        <v>-105</v>
      </c>
      <c r="E63" s="16">
        <v>109.35</v>
      </c>
      <c r="F63" s="17">
        <v>57.01</v>
      </c>
      <c r="G63" s="16">
        <v>212.19</v>
      </c>
      <c r="H63" s="18">
        <v>-109.18</v>
      </c>
    </row>
    <row r="64" spans="1:8" ht="15" customHeight="1">
      <c r="A64" s="22" t="s">
        <v>415</v>
      </c>
      <c r="B64" s="16">
        <v>2243.9699999999998</v>
      </c>
      <c r="C64" s="16">
        <v>1154.8699999999999</v>
      </c>
      <c r="D64" s="16">
        <v>1259.8699999999999</v>
      </c>
      <c r="E64" s="16">
        <v>1150.52</v>
      </c>
      <c r="F64" s="16">
        <v>1093.51</v>
      </c>
      <c r="G64" s="16">
        <v>881.32</v>
      </c>
      <c r="H64" s="16">
        <v>990.5</v>
      </c>
    </row>
    <row r="65" spans="1:8" ht="15" customHeight="1">
      <c r="A65" s="22" t="s">
        <v>416</v>
      </c>
      <c r="B65" s="16">
        <v>1984.34</v>
      </c>
      <c r="C65" s="16">
        <v>2243.9699999999998</v>
      </c>
      <c r="D65" s="16">
        <v>1154.8699999999999</v>
      </c>
      <c r="E65" s="16">
        <v>1259.8699999999999</v>
      </c>
      <c r="F65" s="16">
        <v>1150.52</v>
      </c>
      <c r="G65" s="16">
        <v>1093.51</v>
      </c>
      <c r="H65" s="16">
        <v>881.32</v>
      </c>
    </row>
    <row r="66" spans="1:8" ht="15" customHeight="1">
      <c r="A66" s="23" t="s">
        <v>417</v>
      </c>
      <c r="B66" s="24"/>
      <c r="C66" s="24"/>
      <c r="D66" s="24"/>
      <c r="E66" s="24"/>
      <c r="F66" s="24"/>
      <c r="G66" s="24"/>
      <c r="H66" s="24"/>
    </row>
    <row r="67" spans="1:8" ht="15" customHeight="1">
      <c r="A67" s="22" t="s">
        <v>418</v>
      </c>
      <c r="B67" s="16">
        <v>579.17999999999995</v>
      </c>
      <c r="C67" s="16">
        <v>824.21</v>
      </c>
      <c r="D67" s="16">
        <v>502.14</v>
      </c>
      <c r="E67" s="16">
        <v>245.21</v>
      </c>
      <c r="F67" s="16">
        <v>260.89</v>
      </c>
      <c r="G67" s="16">
        <v>305.49</v>
      </c>
      <c r="H67" s="16">
        <v>177.04</v>
      </c>
    </row>
    <row r="68" spans="1:8" ht="15" customHeight="1">
      <c r="A68" s="22" t="s">
        <v>419</v>
      </c>
      <c r="B68" s="17">
        <v>0.48</v>
      </c>
      <c r="C68" s="17">
        <v>0.23</v>
      </c>
      <c r="D68" s="17">
        <v>0.12</v>
      </c>
      <c r="E68" s="17">
        <v>0.01</v>
      </c>
      <c r="F68" s="17">
        <v>0.11</v>
      </c>
      <c r="G68" s="17">
        <v>0.33</v>
      </c>
      <c r="H68" s="17">
        <v>1.39</v>
      </c>
    </row>
    <row r="69" spans="1:8" ht="15" customHeight="1">
      <c r="A69" s="22" t="s">
        <v>420</v>
      </c>
      <c r="B69" s="16">
        <v>2324.61</v>
      </c>
      <c r="C69" s="16">
        <v>2096.94</v>
      </c>
      <c r="D69" s="16">
        <v>1563.46</v>
      </c>
      <c r="E69" s="16">
        <v>1259.98</v>
      </c>
      <c r="F69" s="16">
        <v>850.89</v>
      </c>
      <c r="G69" s="16">
        <v>863.39</v>
      </c>
      <c r="H69" s="16">
        <v>629.9</v>
      </c>
    </row>
    <row r="70" spans="1:8" ht="15" customHeight="1">
      <c r="A70" s="22" t="s">
        <v>421</v>
      </c>
      <c r="B70" s="16">
        <v>1636.88</v>
      </c>
      <c r="C70" s="16">
        <v>558.65</v>
      </c>
      <c r="D70" s="16">
        <v>444</v>
      </c>
      <c r="E70" s="16">
        <v>812.6</v>
      </c>
      <c r="F70" s="17">
        <v>63.66</v>
      </c>
      <c r="G70" s="16">
        <v>173.4</v>
      </c>
      <c r="H70" s="16">
        <v>598.34</v>
      </c>
    </row>
    <row r="71" spans="1:8" ht="15" customHeight="1">
      <c r="A71" s="22" t="s">
        <v>422</v>
      </c>
      <c r="B71" s="16">
        <v>446.52</v>
      </c>
      <c r="C71" s="16">
        <v>379.38</v>
      </c>
      <c r="D71" s="16">
        <v>291.79000000000002</v>
      </c>
      <c r="E71" s="16">
        <v>224.21</v>
      </c>
      <c r="F71" s="16">
        <v>185.48</v>
      </c>
      <c r="G71" s="16">
        <v>161.93</v>
      </c>
      <c r="H71" s="16">
        <v>122.48</v>
      </c>
    </row>
    <row r="72" spans="1:8" ht="15" customHeight="1">
      <c r="A72" s="22" t="s">
        <v>423</v>
      </c>
      <c r="B72" s="16">
        <v>1583.48</v>
      </c>
      <c r="C72" s="16">
        <v>1644.3</v>
      </c>
      <c r="D72" s="16">
        <v>327.81</v>
      </c>
      <c r="E72" s="16">
        <v>994.61</v>
      </c>
      <c r="F72" s="16">
        <v>574.11</v>
      </c>
      <c r="G72" s="16">
        <v>386.27</v>
      </c>
      <c r="H72" s="16">
        <v>516.97</v>
      </c>
    </row>
    <row r="73" spans="1:8" ht="15" customHeight="1">
      <c r="A73" s="22" t="s">
        <v>424</v>
      </c>
      <c r="B73" s="16">
        <v>1583.48</v>
      </c>
      <c r="C73" s="16">
        <v>1644.3</v>
      </c>
      <c r="D73" s="16">
        <v>327.81</v>
      </c>
      <c r="E73" s="16">
        <v>994.61</v>
      </c>
      <c r="F73" s="16">
        <v>574.11</v>
      </c>
      <c r="G73" s="16">
        <v>386.27</v>
      </c>
      <c r="H73" s="16">
        <v>516.97</v>
      </c>
    </row>
    <row r="74" spans="1:8" ht="15" customHeight="1">
      <c r="A74" s="22" t="s">
        <v>425</v>
      </c>
      <c r="B74" s="16">
        <v>1583.48</v>
      </c>
      <c r="C74" s="16">
        <v>1644.3</v>
      </c>
      <c r="D74" s="16">
        <v>327.81</v>
      </c>
      <c r="E74" s="16">
        <v>994.61</v>
      </c>
      <c r="F74" s="16">
        <v>574.11</v>
      </c>
      <c r="G74" s="16">
        <v>386.27</v>
      </c>
      <c r="H74" s="16">
        <v>516.97</v>
      </c>
    </row>
    <row r="75" spans="1:8" ht="15" customHeight="1">
      <c r="A75" s="22" t="s">
        <v>426</v>
      </c>
      <c r="B75" s="15"/>
      <c r="C75" s="15"/>
      <c r="D75" s="15"/>
      <c r="E75" s="15"/>
      <c r="F75" s="15"/>
      <c r="G75" s="15"/>
      <c r="H75" s="15"/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25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427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45922.395210127303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31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31</v>
      </c>
      <c r="H15" s="116" t="s">
        <v>31</v>
      </c>
    </row>
    <row r="17" spans="1:8">
      <c r="A17" s="8" t="s">
        <v>428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429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430</v>
      </c>
      <c r="B20" s="17">
        <v>22.2</v>
      </c>
      <c r="C20" s="17">
        <v>19.8</v>
      </c>
      <c r="D20" s="17">
        <v>14</v>
      </c>
      <c r="E20" s="17">
        <v>11.8</v>
      </c>
      <c r="F20" s="17">
        <v>9.1999999999999993</v>
      </c>
      <c r="G20" s="17">
        <v>8.5</v>
      </c>
      <c r="H20" s="17">
        <v>6.4</v>
      </c>
    </row>
    <row r="21" spans="1:8" ht="15" customHeight="1">
      <c r="A21" s="13" t="s">
        <v>431</v>
      </c>
      <c r="B21" s="17">
        <v>22.2</v>
      </c>
      <c r="C21" s="17">
        <v>19.8</v>
      </c>
      <c r="D21" s="17">
        <v>14</v>
      </c>
      <c r="E21" s="17">
        <v>11.8</v>
      </c>
      <c r="F21" s="17">
        <v>9.1999999999999993</v>
      </c>
      <c r="G21" s="17">
        <v>8.5</v>
      </c>
      <c r="H21" s="17">
        <v>6.4</v>
      </c>
    </row>
    <row r="22" spans="1:8" ht="15" customHeight="1">
      <c r="A22" s="28" t="s">
        <v>432</v>
      </c>
      <c r="B22" s="17">
        <v>22.2</v>
      </c>
      <c r="C22" s="17">
        <v>19.8</v>
      </c>
      <c r="D22" s="17">
        <v>14</v>
      </c>
      <c r="E22" s="17">
        <v>11.8</v>
      </c>
      <c r="F22" s="17">
        <v>9.1999999999999993</v>
      </c>
      <c r="G22" s="17">
        <v>8.5</v>
      </c>
      <c r="H22" s="17">
        <v>6.4</v>
      </c>
    </row>
    <row r="23" spans="1:8" ht="15" customHeight="1">
      <c r="A23" s="22" t="s">
        <v>433</v>
      </c>
      <c r="B23" s="17">
        <v>22.2</v>
      </c>
      <c r="C23" s="17">
        <v>19.8</v>
      </c>
      <c r="D23" s="17">
        <v>14</v>
      </c>
      <c r="E23" s="17">
        <v>11.8</v>
      </c>
      <c r="F23" s="17">
        <v>9.1999999999999993</v>
      </c>
      <c r="G23" s="17">
        <v>8.5</v>
      </c>
      <c r="H23" s="17">
        <v>6.4</v>
      </c>
    </row>
    <row r="24" spans="1:8" ht="15" customHeight="1">
      <c r="A24" s="13" t="s">
        <v>434</v>
      </c>
      <c r="B24" s="17">
        <v>22.2</v>
      </c>
      <c r="C24" s="17">
        <v>19.8</v>
      </c>
      <c r="D24" s="17">
        <v>14</v>
      </c>
      <c r="E24" s="17">
        <v>11.8</v>
      </c>
      <c r="F24" s="17">
        <v>9.1999999999999993</v>
      </c>
      <c r="G24" s="17">
        <v>8.5</v>
      </c>
      <c r="H24" s="17">
        <v>6.4</v>
      </c>
    </row>
    <row r="25" spans="1:8" ht="15" customHeight="1">
      <c r="A25" s="28" t="s">
        <v>435</v>
      </c>
      <c r="B25" s="17">
        <v>22.2</v>
      </c>
      <c r="C25" s="17">
        <v>19.8</v>
      </c>
      <c r="D25" s="17">
        <v>14</v>
      </c>
      <c r="E25" s="17">
        <v>11.8</v>
      </c>
      <c r="F25" s="17">
        <v>9.1999999999999993</v>
      </c>
      <c r="G25" s="17">
        <v>8.5</v>
      </c>
      <c r="H25" s="17">
        <v>6.4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04"/>
  <sheetViews>
    <sheetView topLeftCell="A44" workbookViewId="0">
      <selection activeCell="A64" sqref="A64"/>
    </sheetView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436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45922.3952101389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57</v>
      </c>
      <c r="C15" s="116" t="s">
        <v>57</v>
      </c>
      <c r="D15" s="116" t="s">
        <v>57</v>
      </c>
      <c r="E15" s="116" t="s">
        <v>57</v>
      </c>
      <c r="F15" s="116" t="s">
        <v>57</v>
      </c>
      <c r="G15" s="116" t="s">
        <v>57</v>
      </c>
      <c r="H15" s="116" t="s">
        <v>57</v>
      </c>
    </row>
    <row r="17" spans="1:8">
      <c r="A17" s="8" t="s">
        <v>437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438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83</v>
      </c>
      <c r="B20" s="15">
        <v>10588.13</v>
      </c>
      <c r="C20" s="16">
        <v>9619.2800000000007</v>
      </c>
      <c r="D20" s="16">
        <v>8110.52</v>
      </c>
      <c r="E20" s="16">
        <v>6256.62</v>
      </c>
      <c r="F20" s="16">
        <v>4401.88</v>
      </c>
      <c r="G20" s="16">
        <v>3979.3</v>
      </c>
      <c r="H20" s="16">
        <v>3288.32</v>
      </c>
    </row>
    <row r="21" spans="1:8" ht="15" customHeight="1">
      <c r="A21" s="22" t="s">
        <v>89</v>
      </c>
      <c r="B21" s="16">
        <v>6268.08</v>
      </c>
      <c r="C21" s="16">
        <v>5604.4</v>
      </c>
      <c r="D21" s="16">
        <v>4483.59</v>
      </c>
      <c r="E21" s="16">
        <v>3599.78</v>
      </c>
      <c r="F21" s="16">
        <v>2458.83</v>
      </c>
      <c r="G21" s="16">
        <v>2223.39</v>
      </c>
      <c r="H21" s="16">
        <v>1816.29</v>
      </c>
    </row>
    <row r="22" spans="1:8" ht="15" customHeight="1">
      <c r="A22" s="22" t="s">
        <v>96</v>
      </c>
      <c r="B22" s="16">
        <v>2509.1999999999998</v>
      </c>
      <c r="C22" s="16">
        <v>2207.1799999999998</v>
      </c>
      <c r="D22" s="16">
        <v>1726.14</v>
      </c>
      <c r="E22" s="16">
        <v>1374.75</v>
      </c>
      <c r="F22" s="16">
        <v>849.83</v>
      </c>
      <c r="G22" s="16">
        <v>890.62</v>
      </c>
      <c r="H22" s="16">
        <v>704.44</v>
      </c>
    </row>
    <row r="23" spans="1:8" ht="15" customHeight="1">
      <c r="A23" s="22" t="s">
        <v>163</v>
      </c>
      <c r="B23" s="16">
        <v>2955.72</v>
      </c>
      <c r="C23" s="16">
        <v>2586.56</v>
      </c>
      <c r="D23" s="16">
        <v>2017.93</v>
      </c>
      <c r="E23" s="16">
        <v>1598.96</v>
      </c>
      <c r="F23" s="16">
        <v>1035.31</v>
      </c>
      <c r="G23" s="16">
        <v>1052.55</v>
      </c>
      <c r="H23" s="16">
        <v>826.93</v>
      </c>
    </row>
    <row r="24" spans="1:8" ht="15" customHeight="1">
      <c r="A24" s="22" t="s">
        <v>128</v>
      </c>
      <c r="B24" s="16">
        <v>1814.62</v>
      </c>
      <c r="C24" s="16">
        <v>1550.19</v>
      </c>
      <c r="D24" s="16">
        <v>854.8</v>
      </c>
      <c r="E24" s="16">
        <v>975.32</v>
      </c>
      <c r="F24" s="16">
        <v>588.91</v>
      </c>
      <c r="G24" s="16">
        <v>645.6</v>
      </c>
      <c r="H24" s="16">
        <v>491.27</v>
      </c>
    </row>
    <row r="25" spans="1:8" ht="15" customHeight="1">
      <c r="A25" s="23" t="s">
        <v>439</v>
      </c>
      <c r="B25" s="24"/>
      <c r="C25" s="24"/>
      <c r="D25" s="24"/>
      <c r="E25" s="24"/>
      <c r="F25" s="24"/>
      <c r="G25" s="24"/>
      <c r="H25" s="24"/>
    </row>
    <row r="26" spans="1:8" ht="15" customHeight="1">
      <c r="A26" s="22" t="s">
        <v>215</v>
      </c>
      <c r="B26" s="16">
        <v>1984.34</v>
      </c>
      <c r="C26" s="16">
        <v>2243.9699999999998</v>
      </c>
      <c r="D26" s="16">
        <v>1154.8699999999999</v>
      </c>
      <c r="E26" s="16">
        <v>1259.8699999999999</v>
      </c>
      <c r="F26" s="16">
        <v>1150.52</v>
      </c>
      <c r="G26" s="16">
        <v>1093.51</v>
      </c>
      <c r="H26" s="16">
        <v>881.32</v>
      </c>
    </row>
    <row r="27" spans="1:8" ht="15" customHeight="1">
      <c r="A27" s="22" t="s">
        <v>214</v>
      </c>
      <c r="B27" s="16">
        <v>1984.34</v>
      </c>
      <c r="C27" s="16">
        <v>2243.9699999999998</v>
      </c>
      <c r="D27" s="16">
        <v>1154.8699999999999</v>
      </c>
      <c r="E27" s="16">
        <v>1259.8699999999999</v>
      </c>
      <c r="F27" s="16">
        <v>1150.52</v>
      </c>
      <c r="G27" s="16">
        <v>1093.51</v>
      </c>
      <c r="H27" s="16">
        <v>881.32</v>
      </c>
    </row>
    <row r="28" spans="1:8" ht="15" customHeight="1">
      <c r="A28" s="22" t="s">
        <v>253</v>
      </c>
      <c r="B28" s="16">
        <v>7603.29</v>
      </c>
      <c r="C28" s="16">
        <v>7091.94</v>
      </c>
      <c r="D28" s="16">
        <v>5607.04</v>
      </c>
      <c r="E28" s="16">
        <v>4942.4799999999996</v>
      </c>
      <c r="F28" s="16">
        <v>4185.22</v>
      </c>
      <c r="G28" s="16">
        <v>3281.35</v>
      </c>
      <c r="H28" s="16">
        <v>2084.71</v>
      </c>
    </row>
    <row r="29" spans="1:8" ht="15" customHeight="1">
      <c r="A29" s="22" t="s">
        <v>324</v>
      </c>
      <c r="B29" s="17">
        <v>12.4</v>
      </c>
      <c r="C29" s="17">
        <v>10.8</v>
      </c>
      <c r="D29" s="17">
        <v>8.6</v>
      </c>
      <c r="E29" s="17">
        <v>4</v>
      </c>
      <c r="F29" s="15"/>
      <c r="G29" s="15"/>
      <c r="H29" s="15"/>
    </row>
    <row r="30" spans="1:8" ht="15" customHeight="1">
      <c r="A30" s="22" t="s">
        <v>288</v>
      </c>
      <c r="B30" s="16">
        <v>4324.05</v>
      </c>
      <c r="C30" s="16">
        <v>4232.08</v>
      </c>
      <c r="D30" s="16">
        <v>3148.8</v>
      </c>
      <c r="E30" s="16">
        <v>2740.05</v>
      </c>
      <c r="F30" s="16">
        <v>2558.5700000000002</v>
      </c>
      <c r="G30" s="16">
        <v>1952.22</v>
      </c>
      <c r="H30" s="16">
        <v>1445.98</v>
      </c>
    </row>
    <row r="31" spans="1:8" ht="15" customHeight="1">
      <c r="A31" s="23" t="s">
        <v>440</v>
      </c>
      <c r="B31" s="24"/>
      <c r="C31" s="24"/>
      <c r="D31" s="24"/>
      <c r="E31" s="24"/>
      <c r="F31" s="24"/>
      <c r="G31" s="24"/>
      <c r="H31" s="24"/>
    </row>
    <row r="32" spans="1:8" ht="15" customHeight="1">
      <c r="A32" s="22" t="s">
        <v>392</v>
      </c>
      <c r="B32" s="16">
        <v>2272.71</v>
      </c>
      <c r="C32" s="16">
        <v>2296.16</v>
      </c>
      <c r="D32" s="16">
        <v>966.46</v>
      </c>
      <c r="E32" s="16">
        <v>1389.11</v>
      </c>
      <c r="F32" s="16">
        <v>803.34</v>
      </c>
      <c r="G32" s="16">
        <v>669.32</v>
      </c>
      <c r="H32" s="16">
        <v>742.78</v>
      </c>
    </row>
    <row r="33" spans="1:8" ht="15" customHeight="1">
      <c r="A33" s="22" t="s">
        <v>374</v>
      </c>
      <c r="B33" s="16">
        <v>446.52</v>
      </c>
      <c r="C33" s="16">
        <v>453.89</v>
      </c>
      <c r="D33" s="16">
        <v>699.7</v>
      </c>
      <c r="E33" s="16">
        <v>224.21</v>
      </c>
      <c r="F33" s="16">
        <v>185.48</v>
      </c>
      <c r="G33" s="16">
        <v>161.93</v>
      </c>
      <c r="H33" s="16">
        <v>122.48</v>
      </c>
    </row>
    <row r="34" spans="1:8" ht="15" customHeight="1">
      <c r="A34" s="22" t="s">
        <v>394</v>
      </c>
      <c r="B34" s="16">
        <v>689.23</v>
      </c>
      <c r="C34" s="16">
        <v>651.87</v>
      </c>
      <c r="D34" s="16">
        <v>638.66</v>
      </c>
      <c r="E34" s="16">
        <v>394.5</v>
      </c>
      <c r="F34" s="16">
        <v>229.23</v>
      </c>
      <c r="G34" s="16">
        <v>283.05</v>
      </c>
      <c r="H34" s="16">
        <v>225.81</v>
      </c>
    </row>
    <row r="35" spans="1:8" ht="15" customHeight="1">
      <c r="A35" s="22" t="s">
        <v>413</v>
      </c>
      <c r="B35" s="18">
        <v>-259.63</v>
      </c>
      <c r="C35" s="16">
        <v>1089.0999999999999</v>
      </c>
      <c r="D35" s="18">
        <v>-105</v>
      </c>
      <c r="E35" s="16">
        <v>109.35</v>
      </c>
      <c r="F35" s="17">
        <v>57.01</v>
      </c>
      <c r="G35" s="16">
        <v>212.19</v>
      </c>
      <c r="H35" s="18">
        <v>-109.18</v>
      </c>
    </row>
    <row r="36" spans="1:8" ht="15" customHeight="1">
      <c r="A36" s="22" t="s">
        <v>424</v>
      </c>
      <c r="B36" s="16">
        <v>1583.48</v>
      </c>
      <c r="C36" s="16">
        <v>1644.3</v>
      </c>
      <c r="D36" s="16">
        <v>327.81</v>
      </c>
      <c r="E36" s="16">
        <v>994.61</v>
      </c>
      <c r="F36" s="16">
        <v>574.11</v>
      </c>
      <c r="G36" s="16">
        <v>386.27</v>
      </c>
      <c r="H36" s="16">
        <v>516.97</v>
      </c>
    </row>
    <row r="37" spans="1:8" ht="15" customHeight="1">
      <c r="A37" s="23" t="s">
        <v>441</v>
      </c>
      <c r="B37" s="24"/>
      <c r="C37" s="24"/>
      <c r="D37" s="24"/>
      <c r="E37" s="24"/>
      <c r="F37" s="24"/>
      <c r="G37" s="24"/>
      <c r="H37" s="24"/>
    </row>
    <row r="38" spans="1:8" ht="15" customHeight="1">
      <c r="A38" s="22" t="s">
        <v>442</v>
      </c>
      <c r="B38" s="30"/>
      <c r="C38" s="30"/>
      <c r="D38" s="30"/>
      <c r="E38" s="30"/>
      <c r="F38" s="30"/>
      <c r="G38" s="30"/>
      <c r="H38" s="30"/>
    </row>
    <row r="39" spans="1:8" ht="15" customHeight="1">
      <c r="A39" s="22" t="s">
        <v>443</v>
      </c>
      <c r="B39" s="30"/>
      <c r="C39" s="30"/>
      <c r="D39" s="30"/>
      <c r="E39" s="30"/>
      <c r="F39" s="30"/>
      <c r="G39" s="30"/>
      <c r="H39" s="30"/>
    </row>
    <row r="40" spans="1:8" ht="15" customHeight="1">
      <c r="A40" s="22" t="s">
        <v>155</v>
      </c>
      <c r="B40" s="17">
        <v>14.64</v>
      </c>
      <c r="C40" s="17">
        <v>12.2</v>
      </c>
      <c r="D40" s="17">
        <v>6.68</v>
      </c>
      <c r="E40" s="17">
        <v>7.49</v>
      </c>
      <c r="F40" s="17">
        <v>4.5</v>
      </c>
      <c r="G40" s="17">
        <v>4.93</v>
      </c>
      <c r="H40" s="17">
        <v>3.67</v>
      </c>
    </row>
    <row r="41" spans="1:8" ht="15" customHeight="1">
      <c r="A41" s="22" t="s">
        <v>153</v>
      </c>
      <c r="B41" s="16">
        <v>123.94</v>
      </c>
      <c r="C41" s="16">
        <v>127.06</v>
      </c>
      <c r="D41" s="16">
        <v>128.02000000000001</v>
      </c>
      <c r="E41" s="16">
        <v>130.29</v>
      </c>
      <c r="F41" s="16">
        <v>130.87</v>
      </c>
      <c r="G41" s="16">
        <v>130.96</v>
      </c>
      <c r="H41" s="16">
        <v>133.97</v>
      </c>
    </row>
    <row r="42" spans="1:8" ht="15" customHeight="1">
      <c r="A42" s="23" t="s">
        <v>444</v>
      </c>
      <c r="B42" s="24"/>
      <c r="C42" s="24"/>
      <c r="D42" s="24"/>
      <c r="E42" s="24"/>
      <c r="F42" s="24"/>
      <c r="G42" s="24"/>
      <c r="H42" s="24"/>
    </row>
    <row r="43" spans="1:8" ht="15" customHeight="1">
      <c r="A43" s="22" t="s">
        <v>184</v>
      </c>
      <c r="B43" s="15"/>
      <c r="C43" s="15"/>
      <c r="D43" s="16">
        <v>2001.63</v>
      </c>
      <c r="E43" s="16">
        <v>1759.24</v>
      </c>
      <c r="F43" s="15"/>
      <c r="G43" s="15"/>
      <c r="H43" s="15"/>
    </row>
    <row r="44" spans="1:8" ht="15" customHeight="1">
      <c r="A44" s="22" t="s">
        <v>185</v>
      </c>
      <c r="B44" s="15"/>
      <c r="C44" s="16">
        <v>2230.89</v>
      </c>
      <c r="D44" s="15"/>
      <c r="E44" s="15"/>
      <c r="F44" s="15"/>
      <c r="G44" s="15"/>
      <c r="H44" s="16">
        <v>705.84</v>
      </c>
    </row>
    <row r="45" spans="1:8" ht="15" customHeight="1">
      <c r="A45" s="22" t="s">
        <v>186</v>
      </c>
      <c r="B45" s="15"/>
      <c r="C45" s="15"/>
      <c r="D45" s="15"/>
      <c r="E45" s="15"/>
      <c r="F45" s="15"/>
      <c r="G45" s="17">
        <v>3.84</v>
      </c>
      <c r="H45" s="17">
        <v>3.84</v>
      </c>
    </row>
    <row r="46" spans="1:8" ht="15" customHeight="1">
      <c r="A46" s="22" t="s">
        <v>187</v>
      </c>
      <c r="B46" s="30"/>
      <c r="C46" s="30">
        <v>23.2</v>
      </c>
      <c r="D46" s="30"/>
      <c r="E46" s="30"/>
      <c r="F46" s="30"/>
      <c r="G46" s="30"/>
      <c r="H46" s="30">
        <v>21.5</v>
      </c>
    </row>
    <row r="47" spans="1:8" ht="15" customHeight="1">
      <c r="A47" s="23" t="s">
        <v>445</v>
      </c>
      <c r="B47" s="24"/>
      <c r="C47" s="24"/>
      <c r="D47" s="24"/>
      <c r="E47" s="24"/>
      <c r="F47" s="24"/>
      <c r="G47" s="24"/>
      <c r="H47" s="24"/>
    </row>
    <row r="48" spans="1:8" ht="15" customHeight="1">
      <c r="A48" s="22" t="s">
        <v>446</v>
      </c>
      <c r="B48" s="30">
        <v>59.2</v>
      </c>
      <c r="C48" s="30">
        <v>58.26</v>
      </c>
      <c r="D48" s="30">
        <v>55.28</v>
      </c>
      <c r="E48" s="30">
        <v>57.54</v>
      </c>
      <c r="F48" s="30">
        <v>55.86</v>
      </c>
      <c r="G48" s="30">
        <v>55.87</v>
      </c>
      <c r="H48" s="30">
        <v>55.23</v>
      </c>
    </row>
    <row r="49" spans="1:8" ht="15" customHeight="1">
      <c r="A49" s="22" t="s">
        <v>447</v>
      </c>
      <c r="B49" s="30">
        <v>27.92</v>
      </c>
      <c r="C49" s="30">
        <v>26.89</v>
      </c>
      <c r="D49" s="30">
        <v>24.88</v>
      </c>
      <c r="E49" s="30">
        <v>25.56</v>
      </c>
      <c r="F49" s="30">
        <v>23.52</v>
      </c>
      <c r="G49" s="30">
        <v>26.45</v>
      </c>
      <c r="H49" s="30">
        <v>25.15</v>
      </c>
    </row>
    <row r="50" spans="1:8" ht="15" customHeight="1">
      <c r="A50" s="22" t="s">
        <v>448</v>
      </c>
      <c r="B50" s="30">
        <v>23.7</v>
      </c>
      <c r="C50" s="30">
        <v>22.95</v>
      </c>
      <c r="D50" s="30">
        <v>21.28</v>
      </c>
      <c r="E50" s="30">
        <v>21.97</v>
      </c>
      <c r="F50" s="30">
        <v>19.309999999999999</v>
      </c>
      <c r="G50" s="30">
        <v>22.38</v>
      </c>
      <c r="H50" s="30">
        <v>21.42</v>
      </c>
    </row>
    <row r="51" spans="1:8" ht="15" customHeight="1">
      <c r="A51" s="22" t="s">
        <v>449</v>
      </c>
      <c r="B51" s="30">
        <v>24.33</v>
      </c>
      <c r="C51" s="30">
        <v>22.62</v>
      </c>
      <c r="D51" s="30">
        <v>16.43</v>
      </c>
      <c r="E51" s="30">
        <v>21.32</v>
      </c>
      <c r="F51" s="30">
        <v>18.61</v>
      </c>
      <c r="G51" s="30">
        <v>22.55</v>
      </c>
      <c r="H51" s="30">
        <v>21.75</v>
      </c>
    </row>
    <row r="52" spans="1:8" ht="15" customHeight="1">
      <c r="A52" s="22" t="s">
        <v>450</v>
      </c>
      <c r="B52" s="30">
        <v>29.56</v>
      </c>
      <c r="C52" s="30">
        <v>28.75</v>
      </c>
      <c r="D52" s="30">
        <v>35.85</v>
      </c>
      <c r="E52" s="30">
        <v>26.88</v>
      </c>
      <c r="F52" s="30">
        <v>28.12</v>
      </c>
      <c r="G52" s="30">
        <v>28.06</v>
      </c>
      <c r="H52" s="30">
        <v>31.32</v>
      </c>
    </row>
    <row r="53" spans="1:8" ht="15" customHeight="1">
      <c r="A53" s="22" t="s">
        <v>451</v>
      </c>
      <c r="B53" s="30">
        <v>17.14</v>
      </c>
      <c r="C53" s="30">
        <v>16.12</v>
      </c>
      <c r="D53" s="30">
        <v>10.54</v>
      </c>
      <c r="E53" s="30">
        <v>15.59</v>
      </c>
      <c r="F53" s="30">
        <v>13.38</v>
      </c>
      <c r="G53" s="30">
        <v>16.22</v>
      </c>
      <c r="H53" s="30">
        <v>14.94</v>
      </c>
    </row>
    <row r="54" spans="1:8" ht="15" customHeight="1">
      <c r="A54" s="22" t="s">
        <v>425</v>
      </c>
      <c r="B54" s="16">
        <v>1583.48</v>
      </c>
      <c r="C54" s="16">
        <v>1644.3</v>
      </c>
      <c r="D54" s="16">
        <v>327.81</v>
      </c>
      <c r="E54" s="16">
        <v>994.61</v>
      </c>
      <c r="F54" s="16">
        <v>574.11</v>
      </c>
      <c r="G54" s="16">
        <v>386.27</v>
      </c>
      <c r="H54" s="16">
        <v>516.97</v>
      </c>
    </row>
    <row r="55" spans="1:8" ht="15" customHeight="1">
      <c r="A55" s="22" t="s">
        <v>452</v>
      </c>
      <c r="B55" s="30">
        <v>42.42</v>
      </c>
      <c r="C55" s="30">
        <v>42.01</v>
      </c>
      <c r="D55" s="30">
        <v>29.03</v>
      </c>
      <c r="E55" s="30">
        <v>36.81</v>
      </c>
      <c r="F55" s="30">
        <v>26.11</v>
      </c>
      <c r="G55" s="30">
        <v>38</v>
      </c>
      <c r="H55" s="30">
        <v>32.29</v>
      </c>
    </row>
    <row r="56" spans="1:8" ht="15" customHeight="1">
      <c r="A56" s="22" t="s">
        <v>453</v>
      </c>
      <c r="B56" s="30">
        <v>24.7</v>
      </c>
      <c r="C56" s="30">
        <v>24.41</v>
      </c>
      <c r="D56" s="30">
        <v>16.21</v>
      </c>
      <c r="E56" s="30">
        <v>21.37</v>
      </c>
      <c r="F56" s="30">
        <v>15.77</v>
      </c>
      <c r="G56" s="30">
        <v>24.06</v>
      </c>
      <c r="H56" s="30">
        <v>24.06</v>
      </c>
    </row>
    <row r="57" spans="1:8" ht="15" customHeight="1">
      <c r="A57" s="22" t="s">
        <v>454</v>
      </c>
      <c r="B57" s="30">
        <v>42.3</v>
      </c>
      <c r="C57" s="30">
        <v>41.9</v>
      </c>
      <c r="D57" s="30">
        <v>27.49</v>
      </c>
      <c r="E57" s="30">
        <v>35.799999999999997</v>
      </c>
      <c r="F57" s="30">
        <v>25.36</v>
      </c>
      <c r="G57" s="30">
        <v>38</v>
      </c>
      <c r="H57" s="30">
        <v>31.8</v>
      </c>
    </row>
    <row r="58" spans="1:8" ht="15" customHeight="1">
      <c r="A58" s="23" t="s">
        <v>455</v>
      </c>
      <c r="B58" s="24"/>
      <c r="C58" s="24"/>
      <c r="D58" s="24"/>
      <c r="E58" s="24"/>
      <c r="F58" s="24"/>
      <c r="G58" s="24"/>
      <c r="H58" s="24"/>
    </row>
    <row r="59" spans="1:8" ht="15" customHeight="1">
      <c r="A59" s="22" t="s">
        <v>83</v>
      </c>
      <c r="B59" s="15">
        <v>10588.13</v>
      </c>
      <c r="C59" s="16">
        <v>9619.2800000000007</v>
      </c>
      <c r="D59" s="16">
        <v>8110.52</v>
      </c>
      <c r="E59" s="16">
        <v>6256.62</v>
      </c>
      <c r="F59" s="16">
        <v>4401.88</v>
      </c>
      <c r="G59" s="16">
        <v>3979.3</v>
      </c>
      <c r="H59" s="16">
        <v>3288.32</v>
      </c>
    </row>
    <row r="60" spans="1:8" ht="15" customHeight="1">
      <c r="A60" s="22" t="s">
        <v>96</v>
      </c>
      <c r="B60" s="16">
        <v>2509.1999999999998</v>
      </c>
      <c r="C60" s="16">
        <v>2207.1799999999998</v>
      </c>
      <c r="D60" s="16">
        <v>1726.14</v>
      </c>
      <c r="E60" s="16">
        <v>1374.75</v>
      </c>
      <c r="F60" s="16">
        <v>849.83</v>
      </c>
      <c r="G60" s="16">
        <v>890.62</v>
      </c>
      <c r="H60" s="16">
        <v>704.44</v>
      </c>
    </row>
    <row r="61" spans="1:8" ht="15" customHeight="1">
      <c r="A61" s="22" t="s">
        <v>163</v>
      </c>
      <c r="B61" s="16">
        <v>2955.72</v>
      </c>
      <c r="C61" s="16">
        <v>2586.56</v>
      </c>
      <c r="D61" s="16">
        <v>2017.93</v>
      </c>
      <c r="E61" s="16">
        <v>1598.96</v>
      </c>
      <c r="F61" s="16">
        <v>1035.31</v>
      </c>
      <c r="G61" s="16">
        <v>1052.55</v>
      </c>
      <c r="H61" s="16">
        <v>826.93</v>
      </c>
    </row>
    <row r="62" spans="1:8" ht="15" customHeight="1">
      <c r="A62" s="22" t="s">
        <v>128</v>
      </c>
      <c r="B62" s="16">
        <v>1814.62</v>
      </c>
      <c r="C62" s="16">
        <v>1550.19</v>
      </c>
      <c r="D62" s="16">
        <v>854.8</v>
      </c>
      <c r="E62" s="16">
        <v>975.32</v>
      </c>
      <c r="F62" s="16">
        <v>588.91</v>
      </c>
      <c r="G62" s="16">
        <v>645.6</v>
      </c>
      <c r="H62" s="16">
        <v>491.27</v>
      </c>
    </row>
    <row r="63" spans="1:8" ht="15" customHeight="1">
      <c r="A63" s="22" t="s">
        <v>155</v>
      </c>
      <c r="B63" s="17">
        <v>14.64</v>
      </c>
      <c r="C63" s="17">
        <v>12.2</v>
      </c>
      <c r="D63" s="17">
        <v>6.68</v>
      </c>
      <c r="E63" s="17">
        <v>7.49</v>
      </c>
      <c r="F63" s="17">
        <v>4.5</v>
      </c>
      <c r="G63" s="17">
        <v>4.93</v>
      </c>
      <c r="H63" s="17">
        <v>3.67</v>
      </c>
    </row>
    <row r="64" spans="1:8" ht="15" customHeight="1">
      <c r="A64" s="22" t="s">
        <v>295</v>
      </c>
      <c r="B64" s="16">
        <v>126.4</v>
      </c>
      <c r="C64" s="16">
        <v>131.34</v>
      </c>
      <c r="D64" s="16">
        <v>132.44</v>
      </c>
      <c r="E64" s="16">
        <v>133.69999999999999</v>
      </c>
      <c r="F64" s="16">
        <v>135.56</v>
      </c>
      <c r="G64" s="16">
        <v>136.58000000000001</v>
      </c>
      <c r="H64" s="16">
        <v>140.26</v>
      </c>
    </row>
    <row r="65" spans="1:8" ht="15" customHeight="1">
      <c r="A65" s="23" t="s">
        <v>456</v>
      </c>
      <c r="B65" s="24"/>
      <c r="C65" s="24"/>
      <c r="D65" s="24"/>
      <c r="E65" s="24"/>
      <c r="F65" s="24"/>
      <c r="G65" s="24"/>
      <c r="H65" s="24"/>
    </row>
    <row r="66" spans="1:8" ht="15" customHeight="1">
      <c r="A66" s="22" t="s">
        <v>457</v>
      </c>
      <c r="B66" s="30">
        <v>0.16</v>
      </c>
      <c r="C66" s="30">
        <v>0.15</v>
      </c>
      <c r="D66" s="30">
        <v>0.15</v>
      </c>
      <c r="E66" s="30">
        <v>0.08</v>
      </c>
      <c r="F66" s="30"/>
      <c r="G66" s="30"/>
      <c r="H66" s="30"/>
    </row>
    <row r="67" spans="1:8" ht="15" customHeight="1">
      <c r="A67" s="22" t="s">
        <v>458</v>
      </c>
      <c r="B67" s="30">
        <v>0.28999999999999998</v>
      </c>
      <c r="C67" s="30">
        <v>0.25</v>
      </c>
      <c r="D67" s="30">
        <v>0.27</v>
      </c>
      <c r="E67" s="30">
        <v>0.15</v>
      </c>
      <c r="F67" s="30"/>
      <c r="G67" s="30"/>
      <c r="H67" s="30"/>
    </row>
    <row r="68" spans="1:8" ht="15" customHeight="1">
      <c r="A68" s="22" t="s">
        <v>459</v>
      </c>
      <c r="B68" s="30">
        <v>0.28999999999999998</v>
      </c>
      <c r="C68" s="30">
        <v>0.26</v>
      </c>
      <c r="D68" s="30">
        <v>0.27</v>
      </c>
      <c r="E68" s="30">
        <v>0.15</v>
      </c>
      <c r="F68" s="30"/>
      <c r="G68" s="30"/>
      <c r="H68" s="30"/>
    </row>
    <row r="69" spans="1:8" ht="15" customHeight="1">
      <c r="A69" s="22" t="s">
        <v>460</v>
      </c>
      <c r="B69" s="15"/>
      <c r="C69" s="15"/>
      <c r="D69" s="21">
        <v>-61.6</v>
      </c>
      <c r="E69" s="21">
        <v>-35.799999999999997</v>
      </c>
      <c r="F69" s="21">
        <v>-23.5</v>
      </c>
      <c r="G69" s="21">
        <v>-0.02</v>
      </c>
      <c r="H69" s="21">
        <v>-0.01</v>
      </c>
    </row>
    <row r="70" spans="1:8" ht="15" customHeight="1">
      <c r="A70" s="22" t="s">
        <v>461</v>
      </c>
      <c r="B70" s="30"/>
      <c r="C70" s="30"/>
      <c r="D70" s="30"/>
      <c r="E70" s="30"/>
      <c r="F70" s="30"/>
      <c r="G70" s="30"/>
      <c r="H70" s="30"/>
    </row>
    <row r="71" spans="1:8" ht="15" customHeight="1">
      <c r="A71" s="22" t="s">
        <v>462</v>
      </c>
      <c r="B71" s="17">
        <v>1</v>
      </c>
      <c r="C71" s="17">
        <v>1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</row>
    <row r="72" spans="1:8" ht="15" customHeight="1">
      <c r="A72" s="22" t="s">
        <v>463</v>
      </c>
      <c r="B72" s="30"/>
      <c r="C72" s="30"/>
      <c r="D72" s="30"/>
      <c r="E72" s="30"/>
      <c r="F72" s="30"/>
      <c r="G72" s="30"/>
      <c r="H72" s="30"/>
    </row>
    <row r="73" spans="1:8" ht="15" customHeight="1">
      <c r="A73" s="23" t="s">
        <v>464</v>
      </c>
      <c r="B73" s="24"/>
      <c r="C73" s="24"/>
      <c r="D73" s="24"/>
      <c r="E73" s="24"/>
      <c r="F73" s="24"/>
      <c r="G73" s="24"/>
      <c r="H73" s="24"/>
    </row>
    <row r="74" spans="1:8" ht="15" customHeight="1">
      <c r="A74" s="22" t="s">
        <v>465</v>
      </c>
      <c r="B74" s="15">
        <v>50442.74</v>
      </c>
      <c r="C74" s="15">
        <v>60322.96</v>
      </c>
      <c r="D74" s="15">
        <v>39665.019999999997</v>
      </c>
      <c r="E74" s="15">
        <v>40845.24</v>
      </c>
      <c r="F74" s="15">
        <v>42839.51</v>
      </c>
      <c r="G74" s="15">
        <v>31191.3</v>
      </c>
      <c r="H74" s="15">
        <v>19346.87</v>
      </c>
    </row>
    <row r="75" spans="1:8" ht="15" customHeight="1">
      <c r="A75" s="22" t="s">
        <v>324</v>
      </c>
      <c r="B75" s="17">
        <v>12.4</v>
      </c>
      <c r="C75" s="17">
        <v>10.8</v>
      </c>
      <c r="D75" s="17">
        <v>8.6</v>
      </c>
      <c r="E75" s="17">
        <v>4</v>
      </c>
      <c r="F75" s="15"/>
      <c r="G75" s="15"/>
      <c r="H75" s="15"/>
    </row>
    <row r="76" spans="1:8" ht="15" customHeight="1">
      <c r="A76" s="22" t="s">
        <v>278</v>
      </c>
      <c r="B76" s="15"/>
      <c r="C76" s="15"/>
      <c r="D76" s="15"/>
      <c r="E76" s="15"/>
      <c r="F76" s="15"/>
      <c r="G76" s="15"/>
      <c r="H76" s="15"/>
    </row>
    <row r="77" spans="1:8" ht="15" customHeight="1">
      <c r="A77" s="22" t="s">
        <v>334</v>
      </c>
      <c r="B77" s="16">
        <v>1984.34</v>
      </c>
      <c r="C77" s="16">
        <v>2243.9699999999998</v>
      </c>
      <c r="D77" s="16">
        <v>1154.8699999999999</v>
      </c>
      <c r="E77" s="16">
        <v>1259.8699999999999</v>
      </c>
      <c r="F77" s="16">
        <v>1150.52</v>
      </c>
      <c r="G77" s="16">
        <v>1093.51</v>
      </c>
      <c r="H77" s="16">
        <v>881.32</v>
      </c>
    </row>
    <row r="78" spans="1:8" ht="15" customHeight="1">
      <c r="A78" s="22" t="s">
        <v>466</v>
      </c>
      <c r="B78" s="15">
        <v>48470.8</v>
      </c>
      <c r="C78" s="15">
        <v>58089.79</v>
      </c>
      <c r="D78" s="15">
        <v>38518.75</v>
      </c>
      <c r="E78" s="15">
        <v>39589.370000000003</v>
      </c>
      <c r="F78" s="15">
        <v>41688.99</v>
      </c>
      <c r="G78" s="15">
        <v>30097.79</v>
      </c>
      <c r="H78" s="15">
        <v>18465.55</v>
      </c>
    </row>
    <row r="79" spans="1:8" ht="15" customHeight="1">
      <c r="A79" s="23" t="s">
        <v>467</v>
      </c>
      <c r="B79" s="24"/>
      <c r="C79" s="24"/>
      <c r="D79" s="24"/>
      <c r="E79" s="24"/>
      <c r="F79" s="24"/>
      <c r="G79" s="24"/>
      <c r="H79" s="24"/>
    </row>
    <row r="80" spans="1:8" ht="15" customHeight="1">
      <c r="A80" s="22" t="s">
        <v>468</v>
      </c>
      <c r="B80" s="17">
        <v>1.44</v>
      </c>
      <c r="C80" s="17">
        <v>1.51</v>
      </c>
      <c r="D80" s="17">
        <v>1.54</v>
      </c>
      <c r="E80" s="17">
        <v>1.37</v>
      </c>
      <c r="F80" s="17">
        <v>1.18</v>
      </c>
      <c r="G80" s="17">
        <v>1.48</v>
      </c>
      <c r="H80" s="17">
        <v>1.61</v>
      </c>
    </row>
    <row r="81" spans="1:8" ht="15" customHeight="1">
      <c r="A81" s="22" t="s">
        <v>449</v>
      </c>
      <c r="B81" s="30">
        <v>24.33</v>
      </c>
      <c r="C81" s="30">
        <v>22.62</v>
      </c>
      <c r="D81" s="30">
        <v>16.43</v>
      </c>
      <c r="E81" s="30">
        <v>21.32</v>
      </c>
      <c r="F81" s="30">
        <v>18.61</v>
      </c>
      <c r="G81" s="30">
        <v>22.55</v>
      </c>
      <c r="H81" s="30">
        <v>21.75</v>
      </c>
    </row>
    <row r="82" spans="1:8" ht="15" customHeight="1">
      <c r="A82" s="22" t="s">
        <v>469</v>
      </c>
      <c r="B82" s="30">
        <v>35.06</v>
      </c>
      <c r="C82" s="30">
        <v>34.270000000000003</v>
      </c>
      <c r="D82" s="30">
        <v>25.26</v>
      </c>
      <c r="E82" s="30">
        <v>29.23</v>
      </c>
      <c r="F82" s="30">
        <v>21.95</v>
      </c>
      <c r="G82" s="30">
        <v>33.450000000000003</v>
      </c>
      <c r="H82" s="30">
        <v>35.03</v>
      </c>
    </row>
    <row r="83" spans="1:8" ht="15" customHeight="1">
      <c r="A83" s="22" t="s">
        <v>470</v>
      </c>
      <c r="B83" s="17">
        <v>1.72</v>
      </c>
      <c r="C83" s="17">
        <v>1.72</v>
      </c>
      <c r="D83" s="17">
        <v>1.79</v>
      </c>
      <c r="E83" s="17">
        <v>1.72</v>
      </c>
      <c r="F83" s="17">
        <v>1.66</v>
      </c>
      <c r="G83" s="17">
        <v>1.58</v>
      </c>
      <c r="H83" s="17">
        <v>1.34</v>
      </c>
    </row>
    <row r="84" spans="1:8" ht="15" customHeight="1">
      <c r="A84" s="22" t="s">
        <v>471</v>
      </c>
      <c r="B84" s="30">
        <v>60.22</v>
      </c>
      <c r="C84" s="30">
        <v>58.96</v>
      </c>
      <c r="D84" s="30">
        <v>45.26</v>
      </c>
      <c r="E84" s="30">
        <v>50.35</v>
      </c>
      <c r="F84" s="30">
        <v>36.33</v>
      </c>
      <c r="G84" s="30">
        <v>52.82</v>
      </c>
      <c r="H84" s="30">
        <v>47.01</v>
      </c>
    </row>
    <row r="85" spans="1:8" ht="15" customHeight="1">
      <c r="A85" s="22" t="s">
        <v>472</v>
      </c>
      <c r="B85" s="17">
        <v>0.7</v>
      </c>
      <c r="C85" s="17">
        <v>0.71</v>
      </c>
      <c r="D85" s="17">
        <v>0.64</v>
      </c>
      <c r="E85" s="17">
        <v>0.73</v>
      </c>
      <c r="F85" s="17">
        <v>0.72</v>
      </c>
      <c r="G85" s="17">
        <v>0.72</v>
      </c>
      <c r="H85" s="17">
        <v>0.69</v>
      </c>
    </row>
    <row r="86" spans="1:8" ht="15" customHeight="1">
      <c r="A86" s="22" t="s">
        <v>452</v>
      </c>
      <c r="B86" s="30">
        <v>42.42</v>
      </c>
      <c r="C86" s="30">
        <v>42.01</v>
      </c>
      <c r="D86" s="30">
        <v>29.03</v>
      </c>
      <c r="E86" s="30">
        <v>36.81</v>
      </c>
      <c r="F86" s="30">
        <v>26.11</v>
      </c>
      <c r="G86" s="30">
        <v>38</v>
      </c>
      <c r="H86" s="30">
        <v>32.29</v>
      </c>
    </row>
    <row r="87" spans="1:8" ht="15" customHeight="1">
      <c r="A87" s="22" t="s">
        <v>462</v>
      </c>
      <c r="B87" s="17">
        <v>1</v>
      </c>
      <c r="C87" s="17">
        <v>1</v>
      </c>
      <c r="D87" s="17">
        <v>1</v>
      </c>
      <c r="E87" s="17">
        <v>1</v>
      </c>
      <c r="F87" s="17">
        <v>1</v>
      </c>
      <c r="G87" s="17">
        <v>1</v>
      </c>
      <c r="H87" s="17">
        <v>1</v>
      </c>
    </row>
    <row r="88" spans="1:8" ht="15" customHeight="1">
      <c r="A88" s="22" t="s">
        <v>473</v>
      </c>
      <c r="B88" s="30">
        <v>42.42</v>
      </c>
      <c r="C88" s="30">
        <v>42.01</v>
      </c>
      <c r="D88" s="30">
        <v>29.03</v>
      </c>
      <c r="E88" s="30">
        <v>36.81</v>
      </c>
      <c r="F88" s="30">
        <v>26.11</v>
      </c>
      <c r="G88" s="30">
        <v>38</v>
      </c>
      <c r="H88" s="30">
        <v>32.29</v>
      </c>
    </row>
    <row r="89" spans="1:8" ht="15" customHeight="1">
      <c r="A89" s="23" t="s">
        <v>474</v>
      </c>
      <c r="B89" s="24"/>
      <c r="C89" s="24"/>
      <c r="D89" s="24"/>
      <c r="E89" s="24"/>
      <c r="F89" s="24"/>
      <c r="G89" s="24"/>
      <c r="H89" s="24"/>
    </row>
    <row r="90" spans="1:8" ht="15" customHeight="1">
      <c r="A90" s="22" t="s">
        <v>475</v>
      </c>
      <c r="B90" s="15">
        <v>47132.88</v>
      </c>
      <c r="C90" s="15">
        <v>43060.83</v>
      </c>
      <c r="D90" s="15">
        <v>27136.51</v>
      </c>
      <c r="E90" s="15">
        <v>36123.040000000001</v>
      </c>
      <c r="F90" s="15">
        <v>26768.77</v>
      </c>
      <c r="G90" s="15">
        <v>37210.14</v>
      </c>
      <c r="H90" s="15">
        <v>33763.919999999998</v>
      </c>
    </row>
    <row r="91" spans="1:8" ht="15" customHeight="1">
      <c r="A91" s="22" t="s">
        <v>476</v>
      </c>
      <c r="B91" s="15">
        <v>275016.26</v>
      </c>
      <c r="C91" s="15">
        <v>267202.17</v>
      </c>
      <c r="D91" s="15">
        <v>257476.76</v>
      </c>
      <c r="E91" s="15">
        <v>231726.56</v>
      </c>
      <c r="F91" s="15">
        <v>200085.41</v>
      </c>
      <c r="G91" s="15">
        <v>229354.23999999999</v>
      </c>
      <c r="H91" s="15">
        <v>226001.31</v>
      </c>
    </row>
    <row r="92" spans="1:8" ht="15" customHeight="1">
      <c r="A92" s="22" t="s">
        <v>477</v>
      </c>
      <c r="B92" s="15">
        <v>194956.21</v>
      </c>
      <c r="C92" s="15">
        <v>186630.03</v>
      </c>
      <c r="D92" s="15">
        <v>164912.88</v>
      </c>
      <c r="E92" s="15">
        <v>170430.28</v>
      </c>
      <c r="F92" s="15">
        <v>167408.6</v>
      </c>
      <c r="G92" s="15">
        <v>172702.84</v>
      </c>
      <c r="H92" s="15">
        <v>132784.14000000001</v>
      </c>
    </row>
    <row r="93" spans="1:8" ht="15" customHeight="1">
      <c r="A93" s="23" t="s">
        <v>478</v>
      </c>
      <c r="B93" s="24"/>
      <c r="C93" s="24"/>
      <c r="D93" s="24"/>
      <c r="E93" s="24"/>
      <c r="F93" s="24"/>
      <c r="G93" s="24"/>
      <c r="H93" s="24"/>
    </row>
    <row r="94" spans="1:8" ht="15" customHeight="1">
      <c r="A94" s="22" t="s">
        <v>479</v>
      </c>
      <c r="B94" s="17">
        <v>2.16</v>
      </c>
      <c r="C94" s="17">
        <v>2.4900000000000002</v>
      </c>
      <c r="D94" s="17">
        <v>2.12</v>
      </c>
      <c r="E94" s="17">
        <v>1.86</v>
      </c>
      <c r="F94" s="17">
        <v>2.41</v>
      </c>
      <c r="G94" s="17">
        <v>2.91</v>
      </c>
      <c r="H94" s="17">
        <v>2.86</v>
      </c>
    </row>
    <row r="95" spans="1:8" ht="15" customHeight="1">
      <c r="A95" s="22" t="s">
        <v>480</v>
      </c>
      <c r="B95" s="17">
        <v>1.38</v>
      </c>
      <c r="C95" s="17">
        <v>1.68</v>
      </c>
      <c r="D95" s="17">
        <v>1.1499999999999999</v>
      </c>
      <c r="E95" s="17">
        <v>1.17</v>
      </c>
      <c r="F95" s="17">
        <v>1.67</v>
      </c>
      <c r="G95" s="17">
        <v>2.08</v>
      </c>
      <c r="H95" s="17">
        <v>2.0499999999999998</v>
      </c>
    </row>
    <row r="96" spans="1:8" ht="15" customHeight="1">
      <c r="A96" s="22" t="s">
        <v>481</v>
      </c>
      <c r="B96" s="17">
        <v>0.28000000000000003</v>
      </c>
      <c r="C96" s="17">
        <v>0.34</v>
      </c>
      <c r="D96" s="17">
        <v>0.3</v>
      </c>
      <c r="E96" s="17">
        <v>0.24</v>
      </c>
      <c r="F96" s="17">
        <v>0.3</v>
      </c>
      <c r="G96" s="17">
        <v>0.36</v>
      </c>
      <c r="H96" s="17">
        <v>0.45</v>
      </c>
    </row>
    <row r="97" spans="1:8" ht="15" customHeight="1">
      <c r="A97" s="23" t="s">
        <v>482</v>
      </c>
      <c r="B97" s="24"/>
      <c r="C97" s="24"/>
      <c r="D97" s="24"/>
      <c r="E97" s="24"/>
      <c r="F97" s="24"/>
      <c r="G97" s="24"/>
      <c r="H97" s="24"/>
    </row>
    <row r="98" spans="1:8" ht="15" customHeight="1">
      <c r="A98" s="22" t="s">
        <v>483</v>
      </c>
      <c r="B98" s="17">
        <v>86.45</v>
      </c>
      <c r="C98" s="17">
        <v>74.66</v>
      </c>
      <c r="D98" s="17">
        <v>77.28</v>
      </c>
      <c r="E98" s="17">
        <v>81.94</v>
      </c>
      <c r="F98" s="17">
        <v>75.94</v>
      </c>
      <c r="G98" s="16">
        <v>104.71</v>
      </c>
      <c r="H98" s="16">
        <v>119.66</v>
      </c>
    </row>
    <row r="99" spans="1:8" ht="15" customHeight="1">
      <c r="A99" s="22" t="s">
        <v>484</v>
      </c>
      <c r="B99" s="17">
        <v>4.3099999999999996</v>
      </c>
      <c r="C99" s="17">
        <v>4.9000000000000004</v>
      </c>
      <c r="D99" s="17">
        <v>4.74</v>
      </c>
      <c r="E99" s="17">
        <v>4.47</v>
      </c>
      <c r="F99" s="17">
        <v>4.82</v>
      </c>
      <c r="G99" s="17">
        <v>3.5</v>
      </c>
      <c r="H99" s="17">
        <v>3.12</v>
      </c>
    </row>
    <row r="100" spans="1:8" ht="15" customHeight="1">
      <c r="A100" s="22" t="s">
        <v>485</v>
      </c>
      <c r="B100" s="17">
        <v>13.94</v>
      </c>
      <c r="C100" s="17">
        <v>15.41</v>
      </c>
      <c r="D100" s="17">
        <v>15.69</v>
      </c>
      <c r="E100" s="17">
        <v>11.5</v>
      </c>
      <c r="F100" s="17">
        <v>15.41</v>
      </c>
      <c r="G100" s="17">
        <v>20.010000000000002</v>
      </c>
      <c r="H100" s="17">
        <v>24.5</v>
      </c>
    </row>
    <row r="101" spans="1:8" ht="15" customHeight="1">
      <c r="A101" s="22" t="s">
        <v>486</v>
      </c>
      <c r="B101" s="17">
        <v>26.76</v>
      </c>
      <c r="C101" s="17">
        <v>23.76</v>
      </c>
      <c r="D101" s="17">
        <v>23.33</v>
      </c>
      <c r="E101" s="17">
        <v>31.82</v>
      </c>
      <c r="F101" s="17">
        <v>23.76</v>
      </c>
      <c r="G101" s="17">
        <v>18.29</v>
      </c>
      <c r="H101" s="17">
        <v>15.23</v>
      </c>
    </row>
    <row r="102" spans="1:8" ht="15" customHeight="1">
      <c r="A102" s="22" t="s">
        <v>487</v>
      </c>
      <c r="B102" s="17">
        <v>3.12</v>
      </c>
      <c r="C102" s="17">
        <v>2.9</v>
      </c>
      <c r="D102" s="17">
        <v>3.01</v>
      </c>
      <c r="E102" s="17">
        <v>3.29</v>
      </c>
      <c r="F102" s="17">
        <v>3.33</v>
      </c>
      <c r="G102" s="17">
        <v>3.8</v>
      </c>
      <c r="H102" s="17">
        <v>4.01</v>
      </c>
    </row>
    <row r="103" spans="1:8" ht="15" customHeight="1">
      <c r="A103" s="22" t="s">
        <v>488</v>
      </c>
      <c r="B103" s="16">
        <v>119.4</v>
      </c>
      <c r="C103" s="16">
        <v>126.3</v>
      </c>
      <c r="D103" s="16">
        <v>121.79</v>
      </c>
      <c r="E103" s="16">
        <v>111.15</v>
      </c>
      <c r="F103" s="16">
        <v>109.79</v>
      </c>
      <c r="G103" s="17">
        <v>96.23</v>
      </c>
      <c r="H103" s="17">
        <v>93.05</v>
      </c>
    </row>
    <row r="104" spans="1:8" ht="15" customHeight="1">
      <c r="A104" s="22" t="s">
        <v>489</v>
      </c>
      <c r="B104" s="17">
        <v>96.95</v>
      </c>
      <c r="C104" s="16">
        <v>107.45</v>
      </c>
      <c r="D104" s="16">
        <v>103.2</v>
      </c>
      <c r="E104" s="17">
        <v>83.8</v>
      </c>
      <c r="F104" s="17">
        <v>90.85</v>
      </c>
      <c r="G104" s="17">
        <v>81.430000000000007</v>
      </c>
      <c r="H104" s="17">
        <v>80.94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71"/>
  <sheetViews>
    <sheetView topLeftCell="A13" workbookViewId="0">
      <selection activeCell="A71" sqref="A19:A71"/>
    </sheetView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490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17</v>
      </c>
      <c r="B10" s="5">
        <v>45922.395210173599</v>
      </c>
    </row>
    <row r="11" spans="1:8">
      <c r="A11" s="6" t="s">
        <v>18</v>
      </c>
      <c r="B11" s="115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57</v>
      </c>
      <c r="C15" s="116" t="s">
        <v>57</v>
      </c>
      <c r="D15" s="116" t="s">
        <v>57</v>
      </c>
      <c r="E15" s="116" t="s">
        <v>57</v>
      </c>
      <c r="F15" s="116" t="s">
        <v>57</v>
      </c>
      <c r="G15" s="116" t="s">
        <v>57</v>
      </c>
      <c r="H15" s="116" t="s">
        <v>57</v>
      </c>
    </row>
    <row r="17" spans="1:8">
      <c r="A17" s="8" t="s">
        <v>491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466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466</v>
      </c>
      <c r="B20" s="15">
        <v>48470.8</v>
      </c>
      <c r="C20" s="15">
        <v>58089.79</v>
      </c>
      <c r="D20" s="15">
        <v>38518.75</v>
      </c>
      <c r="E20" s="15">
        <v>39589.370000000003</v>
      </c>
      <c r="F20" s="15">
        <v>41688.99</v>
      </c>
      <c r="G20" s="15">
        <v>30097.79</v>
      </c>
      <c r="H20" s="15">
        <v>18465.55</v>
      </c>
    </row>
    <row r="21" spans="1:8" ht="15" customHeight="1">
      <c r="A21" s="22" t="s">
        <v>492</v>
      </c>
      <c r="B21" s="15">
        <v>45271.54</v>
      </c>
      <c r="C21" s="15">
        <v>41596.94</v>
      </c>
      <c r="D21" s="15">
        <v>33672.089999999997</v>
      </c>
      <c r="E21" s="15">
        <v>27911.41</v>
      </c>
      <c r="F21" s="15">
        <v>21678.51</v>
      </c>
      <c r="G21" s="15">
        <v>14960.42</v>
      </c>
      <c r="H21" s="15">
        <v>10689.08</v>
      </c>
    </row>
    <row r="22" spans="1:8" ht="15" customHeight="1">
      <c r="A22" s="23" t="s">
        <v>465</v>
      </c>
      <c r="B22" s="24"/>
      <c r="C22" s="24"/>
      <c r="D22" s="24"/>
      <c r="E22" s="24"/>
      <c r="F22" s="24"/>
      <c r="G22" s="24"/>
      <c r="H22" s="24"/>
    </row>
    <row r="23" spans="1:8" ht="15" customHeight="1">
      <c r="A23" s="22" t="s">
        <v>465</v>
      </c>
      <c r="B23" s="15">
        <v>50442.74</v>
      </c>
      <c r="C23" s="15">
        <v>60322.96</v>
      </c>
      <c r="D23" s="15">
        <v>39665.019999999997</v>
      </c>
      <c r="E23" s="15">
        <v>40845.24</v>
      </c>
      <c r="F23" s="15">
        <v>42839.51</v>
      </c>
      <c r="G23" s="15">
        <v>31191.3</v>
      </c>
      <c r="H23" s="15">
        <v>19346.87</v>
      </c>
    </row>
    <row r="24" spans="1:8" ht="15" customHeight="1">
      <c r="A24" s="22" t="s">
        <v>493</v>
      </c>
      <c r="B24" s="15">
        <v>46823.09</v>
      </c>
      <c r="C24" s="15">
        <v>42972.81</v>
      </c>
      <c r="D24" s="15">
        <v>34777.589999999997</v>
      </c>
      <c r="E24" s="15">
        <v>28985.75</v>
      </c>
      <c r="F24" s="15">
        <v>22648.639999999999</v>
      </c>
      <c r="G24" s="15">
        <v>15800.75</v>
      </c>
      <c r="H24" s="15">
        <v>11443.6</v>
      </c>
    </row>
    <row r="25" spans="1:8" ht="15" customHeight="1">
      <c r="A25" s="23" t="s">
        <v>494</v>
      </c>
      <c r="B25" s="24"/>
      <c r="C25" s="24"/>
      <c r="D25" s="24"/>
      <c r="E25" s="24"/>
      <c r="F25" s="24"/>
      <c r="G25" s="24"/>
      <c r="H25" s="24"/>
    </row>
    <row r="26" spans="1:8" ht="15" customHeight="1">
      <c r="A26" s="22" t="s">
        <v>495</v>
      </c>
      <c r="B26" s="16">
        <v>414.2</v>
      </c>
      <c r="C26" s="16">
        <v>478.03</v>
      </c>
      <c r="D26" s="16">
        <v>310.85000000000002</v>
      </c>
      <c r="E26" s="16">
        <v>315.91000000000003</v>
      </c>
      <c r="F26" s="16">
        <v>328.68</v>
      </c>
      <c r="G26" s="16">
        <v>239.39</v>
      </c>
      <c r="H26" s="16">
        <v>146.12</v>
      </c>
    </row>
    <row r="27" spans="1:8" ht="15" customHeight="1">
      <c r="A27" s="22" t="s">
        <v>496</v>
      </c>
      <c r="B27" s="16">
        <v>369.53</v>
      </c>
      <c r="C27" s="16">
        <v>334.57</v>
      </c>
      <c r="D27" s="16">
        <v>268.19</v>
      </c>
      <c r="E27" s="16">
        <v>221.84</v>
      </c>
      <c r="F27" s="16">
        <v>172.02</v>
      </c>
      <c r="G27" s="16">
        <v>118.7</v>
      </c>
      <c r="H27" s="17">
        <v>84.07</v>
      </c>
    </row>
    <row r="28" spans="1:8" ht="15" customHeight="1">
      <c r="A28" s="23" t="s">
        <v>497</v>
      </c>
      <c r="B28" s="24"/>
      <c r="C28" s="24"/>
      <c r="D28" s="24"/>
      <c r="E28" s="24"/>
      <c r="F28" s="24"/>
      <c r="G28" s="24"/>
      <c r="H28" s="24"/>
    </row>
    <row r="29" spans="1:8" ht="15" customHeight="1">
      <c r="A29" s="22" t="s">
        <v>498</v>
      </c>
      <c r="B29" s="30">
        <v>3.08</v>
      </c>
      <c r="C29" s="30">
        <v>2.71</v>
      </c>
      <c r="D29" s="30">
        <v>0.82</v>
      </c>
      <c r="E29" s="30">
        <v>2.42</v>
      </c>
      <c r="F29" s="30">
        <v>1.33</v>
      </c>
      <c r="G29" s="30">
        <v>1.23</v>
      </c>
      <c r="H29" s="30">
        <v>2.64</v>
      </c>
    </row>
    <row r="30" spans="1:8" ht="15" customHeight="1">
      <c r="A30" s="22" t="s">
        <v>499</v>
      </c>
      <c r="B30" s="30">
        <v>2.1800000000000002</v>
      </c>
      <c r="C30" s="30">
        <v>1.82</v>
      </c>
      <c r="D30" s="30">
        <v>1.6</v>
      </c>
      <c r="E30" s="30">
        <v>1.92</v>
      </c>
      <c r="F30" s="30">
        <v>1.79</v>
      </c>
      <c r="G30" s="30">
        <v>2.0299999999999998</v>
      </c>
      <c r="H30" s="30">
        <v>2.4900000000000002</v>
      </c>
    </row>
    <row r="31" spans="1:8" ht="15" customHeight="1">
      <c r="A31" s="23" t="s">
        <v>500</v>
      </c>
      <c r="B31" s="24"/>
      <c r="C31" s="24"/>
      <c r="D31" s="24"/>
      <c r="E31" s="24"/>
      <c r="F31" s="24"/>
      <c r="G31" s="24"/>
      <c r="H31" s="24"/>
    </row>
    <row r="32" spans="1:8" ht="15" customHeight="1">
      <c r="A32" s="22" t="s">
        <v>443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</row>
    <row r="33" spans="1:8" ht="15" customHeight="1">
      <c r="A33" s="22" t="s">
        <v>501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</row>
    <row r="34" spans="1:8" ht="15" customHeight="1">
      <c r="A34" s="22" t="s">
        <v>442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</row>
    <row r="35" spans="1:8" ht="15" customHeight="1">
      <c r="A35" s="22" t="s">
        <v>502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</row>
    <row r="36" spans="1:8" ht="15" customHeight="1">
      <c r="A36" s="23" t="s">
        <v>503</v>
      </c>
      <c r="B36" s="24"/>
      <c r="C36" s="24"/>
      <c r="D36" s="24"/>
      <c r="E36" s="24"/>
      <c r="F36" s="24"/>
      <c r="G36" s="24"/>
      <c r="H36" s="24"/>
    </row>
    <row r="37" spans="1:8" ht="15" customHeight="1">
      <c r="A37" s="22" t="s">
        <v>504</v>
      </c>
      <c r="B37" s="17">
        <v>12.11</v>
      </c>
      <c r="C37" s="17">
        <v>14.84</v>
      </c>
      <c r="D37" s="17">
        <v>13.07</v>
      </c>
      <c r="E37" s="17">
        <v>15.42</v>
      </c>
      <c r="F37" s="17">
        <v>17.41</v>
      </c>
      <c r="G37" s="17">
        <v>16.75</v>
      </c>
      <c r="H37" s="17">
        <v>14.17</v>
      </c>
    </row>
    <row r="38" spans="1:8" ht="15" customHeight="1">
      <c r="A38" s="22" t="s">
        <v>505</v>
      </c>
      <c r="B38" s="17">
        <v>14.26</v>
      </c>
      <c r="C38" s="17">
        <v>15.25</v>
      </c>
      <c r="D38" s="17">
        <v>15.28</v>
      </c>
      <c r="E38" s="17">
        <v>14.8</v>
      </c>
      <c r="F38" s="17">
        <v>13.49</v>
      </c>
      <c r="G38" s="17">
        <v>11.45</v>
      </c>
      <c r="H38" s="17">
        <v>9.2899999999999991</v>
      </c>
    </row>
    <row r="39" spans="1:8" ht="15" customHeight="1">
      <c r="A39" s="23" t="s">
        <v>506</v>
      </c>
      <c r="B39" s="24"/>
      <c r="C39" s="24"/>
      <c r="D39" s="24"/>
      <c r="E39" s="24"/>
      <c r="F39" s="24"/>
      <c r="G39" s="24"/>
      <c r="H39" s="24"/>
    </row>
    <row r="40" spans="1:8" ht="15" customHeight="1">
      <c r="A40" s="22" t="s">
        <v>507</v>
      </c>
      <c r="B40" s="17">
        <v>12.61</v>
      </c>
      <c r="C40" s="17">
        <v>14.92</v>
      </c>
      <c r="D40" s="17">
        <v>13.27</v>
      </c>
      <c r="E40" s="17">
        <v>18.510000000000002</v>
      </c>
      <c r="F40" s="17">
        <v>21.3</v>
      </c>
      <c r="G40" s="17">
        <v>16.96</v>
      </c>
      <c r="H40" s="17">
        <v>14.42</v>
      </c>
    </row>
    <row r="41" spans="1:8" ht="15" customHeight="1">
      <c r="A41" s="22" t="s">
        <v>508</v>
      </c>
      <c r="B41" s="17">
        <v>15.29</v>
      </c>
      <c r="C41" s="17">
        <v>16.39</v>
      </c>
      <c r="D41" s="17">
        <v>16.73</v>
      </c>
      <c r="E41" s="17">
        <v>16.41</v>
      </c>
      <c r="F41" s="17">
        <v>14.43</v>
      </c>
      <c r="G41" s="17">
        <v>11.64</v>
      </c>
      <c r="H41" s="17">
        <v>9.4700000000000006</v>
      </c>
    </row>
    <row r="42" spans="1:8" ht="15" customHeight="1">
      <c r="A42" s="23" t="s">
        <v>509</v>
      </c>
      <c r="B42" s="24"/>
      <c r="C42" s="24"/>
      <c r="D42" s="24"/>
      <c r="E42" s="24"/>
      <c r="F42" s="24"/>
      <c r="G42" s="24"/>
      <c r="H42" s="24"/>
    </row>
    <row r="43" spans="1:8" ht="15" customHeight="1">
      <c r="A43" s="22" t="s">
        <v>510</v>
      </c>
      <c r="B43" s="17">
        <v>4.8499999999999996</v>
      </c>
      <c r="C43" s="17">
        <v>6.31</v>
      </c>
      <c r="D43" s="17">
        <v>4.91</v>
      </c>
      <c r="E43" s="17">
        <v>6.58</v>
      </c>
      <c r="F43" s="17">
        <v>9.77</v>
      </c>
      <c r="G43" s="17">
        <v>7.88</v>
      </c>
      <c r="H43" s="17">
        <v>5.95</v>
      </c>
    </row>
    <row r="44" spans="1:8" ht="15" customHeight="1">
      <c r="A44" s="22" t="s">
        <v>511</v>
      </c>
      <c r="B44" s="17">
        <v>6.04</v>
      </c>
      <c r="C44" s="17">
        <v>6.66</v>
      </c>
      <c r="D44" s="17">
        <v>6.71</v>
      </c>
      <c r="E44" s="17">
        <v>7.11</v>
      </c>
      <c r="F44" s="17">
        <v>6.88</v>
      </c>
      <c r="G44" s="17">
        <v>5.59</v>
      </c>
      <c r="H44" s="17">
        <v>4.7699999999999996</v>
      </c>
    </row>
    <row r="45" spans="1:8" ht="15" customHeight="1">
      <c r="A45" s="23" t="s">
        <v>512</v>
      </c>
      <c r="B45" s="24"/>
      <c r="C45" s="24"/>
      <c r="D45" s="24"/>
      <c r="E45" s="24"/>
      <c r="F45" s="24"/>
      <c r="G45" s="24"/>
      <c r="H45" s="24"/>
    </row>
    <row r="46" spans="1:8" ht="15" customHeight="1">
      <c r="A46" s="22" t="s">
        <v>513</v>
      </c>
      <c r="B46" s="17">
        <v>32.42</v>
      </c>
      <c r="C46" s="17">
        <v>36.94</v>
      </c>
      <c r="D46" s="16">
        <v>121.4</v>
      </c>
      <c r="E46" s="17">
        <v>41.38</v>
      </c>
      <c r="F46" s="17">
        <v>74.92</v>
      </c>
      <c r="G46" s="17">
        <v>81.16</v>
      </c>
      <c r="H46" s="17">
        <v>37.869999999999997</v>
      </c>
    </row>
    <row r="47" spans="1:8" ht="15" customHeight="1">
      <c r="A47" s="22" t="s">
        <v>514</v>
      </c>
      <c r="B47" s="17">
        <v>45.85</v>
      </c>
      <c r="C47" s="17">
        <v>54.9</v>
      </c>
      <c r="D47" s="17">
        <v>62.69</v>
      </c>
      <c r="E47" s="17">
        <v>52.17</v>
      </c>
      <c r="F47" s="17">
        <v>56.02</v>
      </c>
      <c r="G47" s="17">
        <v>49.2</v>
      </c>
      <c r="H47" s="17">
        <v>40.17</v>
      </c>
    </row>
    <row r="48" spans="1:8" ht="15" customHeight="1">
      <c r="A48" s="23" t="s">
        <v>515</v>
      </c>
      <c r="B48" s="24"/>
      <c r="C48" s="24"/>
      <c r="D48" s="24"/>
      <c r="E48" s="24"/>
      <c r="F48" s="24"/>
      <c r="G48" s="24"/>
      <c r="H48" s="24"/>
    </row>
    <row r="49" spans="1:8" ht="15" customHeight="1">
      <c r="A49" s="22" t="s">
        <v>516</v>
      </c>
      <c r="B49" s="17">
        <v>22.7</v>
      </c>
      <c r="C49" s="17">
        <v>31.48</v>
      </c>
      <c r="D49" s="17">
        <v>34.71</v>
      </c>
      <c r="E49" s="17">
        <v>34.31</v>
      </c>
      <c r="F49" s="17">
        <v>55.55</v>
      </c>
      <c r="G49" s="17">
        <v>38.82</v>
      </c>
      <c r="H49" s="17">
        <v>31.9</v>
      </c>
    </row>
    <row r="50" spans="1:8" ht="15" customHeight="1">
      <c r="A50" s="22" t="s">
        <v>517</v>
      </c>
      <c r="B50" s="17">
        <v>32.130000000000003</v>
      </c>
      <c r="C50" s="17">
        <v>36.82</v>
      </c>
      <c r="D50" s="17">
        <v>38.5</v>
      </c>
      <c r="E50" s="17">
        <v>38.25</v>
      </c>
      <c r="F50" s="17">
        <v>37.99</v>
      </c>
      <c r="G50" s="17">
        <v>31.01</v>
      </c>
      <c r="H50" s="17">
        <v>27.96</v>
      </c>
    </row>
    <row r="51" spans="1:8" ht="15" customHeight="1">
      <c r="A51" s="23" t="s">
        <v>518</v>
      </c>
      <c r="B51" s="24"/>
      <c r="C51" s="24"/>
      <c r="D51" s="24"/>
      <c r="E51" s="24"/>
      <c r="F51" s="24"/>
      <c r="G51" s="24"/>
      <c r="H51" s="24"/>
    </row>
    <row r="52" spans="1:8" ht="15" customHeight="1">
      <c r="A52" s="22" t="s">
        <v>519</v>
      </c>
      <c r="B52" s="17">
        <v>28.29</v>
      </c>
      <c r="C52" s="17">
        <v>39.18</v>
      </c>
      <c r="D52" s="17">
        <v>46.55</v>
      </c>
      <c r="E52" s="17">
        <v>42.2</v>
      </c>
      <c r="F52" s="17">
        <v>73.040000000000006</v>
      </c>
      <c r="G52" s="17">
        <v>48.56</v>
      </c>
      <c r="H52" s="17">
        <v>39.85</v>
      </c>
    </row>
    <row r="53" spans="1:8" ht="15" customHeight="1">
      <c r="A53" s="22" t="s">
        <v>520</v>
      </c>
      <c r="B53" s="17">
        <v>40.6</v>
      </c>
      <c r="C53" s="17">
        <v>46.74</v>
      </c>
      <c r="D53" s="17">
        <v>49.19</v>
      </c>
      <c r="E53" s="17">
        <v>48.4</v>
      </c>
      <c r="F53" s="17">
        <v>48.76</v>
      </c>
      <c r="G53" s="17">
        <v>39.479999999999997</v>
      </c>
      <c r="H53" s="17">
        <v>35.75</v>
      </c>
    </row>
    <row r="54" spans="1:8" ht="15" customHeight="1">
      <c r="A54" s="23" t="s">
        <v>521</v>
      </c>
      <c r="B54" s="24"/>
      <c r="C54" s="24"/>
      <c r="D54" s="24"/>
      <c r="E54" s="24"/>
      <c r="F54" s="24"/>
      <c r="G54" s="24"/>
      <c r="H54" s="24"/>
    </row>
    <row r="55" spans="1:8" ht="15" customHeight="1">
      <c r="A55" s="22" t="s">
        <v>522</v>
      </c>
      <c r="B55" s="17">
        <v>28.23</v>
      </c>
      <c r="C55" s="17">
        <v>37.380000000000003</v>
      </c>
      <c r="D55" s="17">
        <v>31.51</v>
      </c>
      <c r="E55" s="17">
        <v>40.479999999999997</v>
      </c>
      <c r="F55" s="17">
        <v>69.52</v>
      </c>
      <c r="G55" s="17">
        <v>48.45</v>
      </c>
      <c r="H55" s="17">
        <v>39.96</v>
      </c>
    </row>
    <row r="56" spans="1:8" ht="15" customHeight="1">
      <c r="A56" s="22" t="s">
        <v>523</v>
      </c>
      <c r="B56" s="17">
        <v>14.26</v>
      </c>
      <c r="C56" s="17">
        <v>15.25</v>
      </c>
      <c r="D56" s="17">
        <v>15.28</v>
      </c>
      <c r="E56" s="17">
        <v>14.8</v>
      </c>
      <c r="F56" s="17">
        <v>13.49</v>
      </c>
      <c r="G56" s="17">
        <v>11.45</v>
      </c>
      <c r="H56" s="17">
        <v>9.2899999999999991</v>
      </c>
    </row>
    <row r="57" spans="1:8" ht="15" customHeight="1">
      <c r="A57" s="23" t="s">
        <v>524</v>
      </c>
      <c r="B57" s="24"/>
      <c r="C57" s="24"/>
      <c r="D57" s="24"/>
      <c r="E57" s="24"/>
      <c r="F57" s="24"/>
      <c r="G57" s="24"/>
      <c r="H57" s="24"/>
    </row>
    <row r="58" spans="1:8" ht="15" customHeight="1">
      <c r="A58" s="22" t="s">
        <v>525</v>
      </c>
      <c r="B58" s="17">
        <v>1.41</v>
      </c>
      <c r="C58" s="17">
        <v>0.47</v>
      </c>
      <c r="D58" s="21">
        <v>-4.3099999999999996</v>
      </c>
      <c r="E58" s="17">
        <v>0.64</v>
      </c>
      <c r="F58" s="21">
        <v>-8.3699999999999992</v>
      </c>
      <c r="G58" s="17">
        <v>1.41</v>
      </c>
      <c r="H58" s="17">
        <v>0.7</v>
      </c>
    </row>
    <row r="59" spans="1:8" ht="15" customHeight="1">
      <c r="A59" s="22" t="s">
        <v>526</v>
      </c>
      <c r="B59" s="17">
        <v>1.67</v>
      </c>
      <c r="C59" s="17">
        <v>1.72</v>
      </c>
      <c r="D59" s="17">
        <v>2.1</v>
      </c>
      <c r="E59" s="17">
        <v>1.75</v>
      </c>
      <c r="F59" s="17">
        <v>2.57</v>
      </c>
      <c r="G59" s="17">
        <v>1.62</v>
      </c>
      <c r="H59" s="17">
        <v>2.57</v>
      </c>
    </row>
    <row r="60" spans="1:8" ht="15" customHeight="1">
      <c r="A60" s="23" t="s">
        <v>527</v>
      </c>
      <c r="B60" s="24"/>
      <c r="C60" s="24"/>
      <c r="D60" s="24"/>
      <c r="E60" s="24"/>
      <c r="F60" s="24"/>
      <c r="G60" s="24"/>
      <c r="H60" s="24"/>
    </row>
    <row r="61" spans="1:8" ht="15" customHeight="1">
      <c r="A61" s="22" t="s">
        <v>528</v>
      </c>
      <c r="B61" s="17">
        <v>4.58</v>
      </c>
      <c r="C61" s="17">
        <v>6.04</v>
      </c>
      <c r="D61" s="17">
        <v>4.75</v>
      </c>
      <c r="E61" s="17">
        <v>6.33</v>
      </c>
      <c r="F61" s="17">
        <v>9.4700000000000006</v>
      </c>
      <c r="G61" s="17">
        <v>7.56</v>
      </c>
      <c r="H61" s="17">
        <v>5.62</v>
      </c>
    </row>
    <row r="62" spans="1:8" ht="15" customHeight="1">
      <c r="A62" s="22" t="s">
        <v>529</v>
      </c>
      <c r="B62" s="17">
        <v>5.81</v>
      </c>
      <c r="C62" s="17">
        <v>6.43</v>
      </c>
      <c r="D62" s="17">
        <v>6.47</v>
      </c>
      <c r="E62" s="17">
        <v>6.78</v>
      </c>
      <c r="F62" s="17">
        <v>6.5</v>
      </c>
      <c r="G62" s="17">
        <v>5.22</v>
      </c>
      <c r="H62" s="17">
        <v>4.4000000000000004</v>
      </c>
    </row>
    <row r="63" spans="1:8" ht="15" customHeight="1">
      <c r="A63" s="23" t="s">
        <v>530</v>
      </c>
      <c r="B63" s="24"/>
      <c r="C63" s="24"/>
      <c r="D63" s="24"/>
      <c r="E63" s="24"/>
      <c r="F63" s="24"/>
      <c r="G63" s="24"/>
      <c r="H63" s="24"/>
    </row>
    <row r="64" spans="1:8" ht="15" customHeight="1">
      <c r="A64" s="22" t="s">
        <v>531</v>
      </c>
      <c r="B64" s="17">
        <v>16.399999999999999</v>
      </c>
      <c r="C64" s="17">
        <v>22.46</v>
      </c>
      <c r="D64" s="17">
        <v>19.09</v>
      </c>
      <c r="E64" s="17">
        <v>24.76</v>
      </c>
      <c r="F64" s="17">
        <v>40.270000000000003</v>
      </c>
      <c r="G64" s="17">
        <v>28.6</v>
      </c>
      <c r="H64" s="17">
        <v>22.33</v>
      </c>
    </row>
    <row r="65" spans="1:8" ht="15" customHeight="1">
      <c r="A65" s="22" t="s">
        <v>532</v>
      </c>
      <c r="B65" s="17">
        <v>22.2</v>
      </c>
      <c r="C65" s="17">
        <v>25.08</v>
      </c>
      <c r="D65" s="17">
        <v>25.78</v>
      </c>
      <c r="E65" s="17">
        <v>27.31</v>
      </c>
      <c r="F65" s="17">
        <v>26.97</v>
      </c>
      <c r="G65" s="17">
        <v>21.83</v>
      </c>
      <c r="H65" s="17">
        <v>19.03</v>
      </c>
    </row>
    <row r="66" spans="1:8" ht="15" customHeight="1">
      <c r="A66" s="23" t="s">
        <v>533</v>
      </c>
      <c r="B66" s="24"/>
      <c r="C66" s="24"/>
      <c r="D66" s="24"/>
      <c r="E66" s="24"/>
      <c r="F66" s="24"/>
      <c r="G66" s="24"/>
      <c r="H66" s="24"/>
    </row>
    <row r="67" spans="1:8" ht="15" customHeight="1">
      <c r="A67" s="22" t="s">
        <v>534</v>
      </c>
      <c r="B67" s="17">
        <v>21.33</v>
      </c>
      <c r="C67" s="17">
        <v>25.3</v>
      </c>
      <c r="D67" s="17">
        <v>39.86</v>
      </c>
      <c r="E67" s="17">
        <v>28.5</v>
      </c>
      <c r="F67" s="17">
        <v>51.89</v>
      </c>
      <c r="G67" s="17">
        <v>44.97</v>
      </c>
      <c r="H67" s="17">
        <v>24.86</v>
      </c>
    </row>
    <row r="68" spans="1:8" ht="15" customHeight="1">
      <c r="A68" s="22" t="s">
        <v>535</v>
      </c>
      <c r="B68" s="17">
        <v>29.29</v>
      </c>
      <c r="C68" s="17">
        <v>33.96</v>
      </c>
      <c r="D68" s="17">
        <v>36.83</v>
      </c>
      <c r="E68" s="17">
        <v>34.090000000000003</v>
      </c>
      <c r="F68" s="17">
        <v>35.07</v>
      </c>
      <c r="G68" s="17">
        <v>28.93</v>
      </c>
      <c r="H68" s="17">
        <v>23.96</v>
      </c>
    </row>
    <row r="69" spans="1:8" ht="15" customHeight="1">
      <c r="A69" s="23" t="s">
        <v>536</v>
      </c>
      <c r="B69" s="24"/>
      <c r="C69" s="24"/>
      <c r="D69" s="24"/>
      <c r="E69" s="24"/>
      <c r="F69" s="24"/>
      <c r="G69" s="24"/>
      <c r="H69" s="24"/>
    </row>
    <row r="70" spans="1:8" ht="15" customHeight="1">
      <c r="A70" s="22" t="s">
        <v>537</v>
      </c>
      <c r="B70" s="17">
        <v>30.61</v>
      </c>
      <c r="C70" s="17">
        <v>35.33</v>
      </c>
      <c r="D70" s="16">
        <v>117.5</v>
      </c>
      <c r="E70" s="17">
        <v>39.799999999999997</v>
      </c>
      <c r="F70" s="17">
        <v>72.61</v>
      </c>
      <c r="G70" s="17">
        <v>77.92</v>
      </c>
      <c r="H70" s="17">
        <v>35.72</v>
      </c>
    </row>
    <row r="71" spans="1:8" ht="15" customHeight="1">
      <c r="A71" s="22" t="s">
        <v>538</v>
      </c>
      <c r="B71" s="17">
        <v>44.17</v>
      </c>
      <c r="C71" s="17">
        <v>52.96</v>
      </c>
      <c r="D71" s="17">
        <v>60.13</v>
      </c>
      <c r="E71" s="17">
        <v>49.78</v>
      </c>
      <c r="F71" s="17">
        <v>52.99</v>
      </c>
      <c r="G71" s="17">
        <v>46.01</v>
      </c>
      <c r="H71" s="17">
        <v>37.270000000000003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B255-2A93-4663-A5D1-CA00AD27A845}">
  <dimension ref="A1:L67"/>
  <sheetViews>
    <sheetView tabSelected="1" topLeftCell="A11" zoomScale="67" workbookViewId="0">
      <selection activeCell="D33" sqref="D33"/>
    </sheetView>
  </sheetViews>
  <sheetFormatPr defaultRowHeight="15"/>
  <cols>
    <col min="1" max="1" width="46.7109375" bestFit="1" customWidth="1"/>
    <col min="2" max="3" width="30" bestFit="1" customWidth="1"/>
    <col min="4" max="4" width="23" bestFit="1" customWidth="1"/>
    <col min="5" max="5" width="9.140625" customWidth="1"/>
    <col min="6" max="6" width="21.85546875" customWidth="1"/>
    <col min="7" max="9" width="24.140625" bestFit="1" customWidth="1"/>
    <col min="10" max="10" width="21.140625" bestFit="1" customWidth="1"/>
    <col min="12" max="12" width="18.85546875" bestFit="1" customWidth="1"/>
  </cols>
  <sheetData>
    <row r="1" spans="1:12">
      <c r="A1" s="139" t="s">
        <v>558</v>
      </c>
      <c r="B1" s="140"/>
      <c r="C1" s="140"/>
      <c r="D1" s="140"/>
      <c r="E1" s="140"/>
      <c r="F1" s="140"/>
      <c r="G1" s="141"/>
      <c r="I1" s="136" t="s">
        <v>571</v>
      </c>
      <c r="J1" s="137"/>
      <c r="K1" s="137"/>
      <c r="L1" s="138"/>
    </row>
    <row r="2" spans="1:12">
      <c r="A2" s="36" t="s">
        <v>559</v>
      </c>
      <c r="B2" s="142" t="s">
        <v>560</v>
      </c>
      <c r="C2" s="143"/>
      <c r="D2" s="144" t="s">
        <v>628</v>
      </c>
      <c r="E2" s="145"/>
      <c r="F2" s="146" t="s">
        <v>561</v>
      </c>
      <c r="G2" s="147"/>
      <c r="I2" s="44">
        <v>1</v>
      </c>
      <c r="J2" s="133" t="s">
        <v>575</v>
      </c>
      <c r="K2" s="134"/>
      <c r="L2" s="135"/>
    </row>
    <row r="3" spans="1:12">
      <c r="A3" s="37" t="s">
        <v>576</v>
      </c>
      <c r="B3" s="42"/>
      <c r="C3" s="42">
        <v>31.5</v>
      </c>
      <c r="D3" s="41"/>
      <c r="E3" s="41">
        <v>9.77</v>
      </c>
      <c r="F3" s="38"/>
      <c r="G3" s="38">
        <v>16.45</v>
      </c>
      <c r="I3" s="45">
        <v>2</v>
      </c>
      <c r="J3" s="133" t="s">
        <v>573</v>
      </c>
      <c r="K3" s="134"/>
      <c r="L3" s="135"/>
    </row>
    <row r="4" spans="1:12">
      <c r="A4" s="36" t="s">
        <v>559</v>
      </c>
      <c r="B4" s="40" t="s">
        <v>559</v>
      </c>
      <c r="C4" s="40" t="s">
        <v>562</v>
      </c>
      <c r="D4" s="41" t="s">
        <v>559</v>
      </c>
      <c r="E4" s="41" t="s">
        <v>562</v>
      </c>
      <c r="F4" s="38" t="s">
        <v>559</v>
      </c>
      <c r="G4" s="38" t="s">
        <v>562</v>
      </c>
      <c r="I4" s="45">
        <v>3</v>
      </c>
      <c r="J4" s="133" t="s">
        <v>572</v>
      </c>
      <c r="K4" s="134"/>
      <c r="L4" s="135"/>
    </row>
    <row r="5" spans="1:12">
      <c r="A5" s="37" t="s">
        <v>569</v>
      </c>
      <c r="B5" s="40"/>
      <c r="C5" s="40">
        <v>22.36</v>
      </c>
      <c r="D5" s="41"/>
      <c r="E5" s="41">
        <v>4.45</v>
      </c>
      <c r="F5" s="38"/>
      <c r="G5" s="38">
        <v>10.37</v>
      </c>
    </row>
    <row r="6" spans="1:12">
      <c r="A6" s="37"/>
      <c r="B6" s="40"/>
      <c r="C6" s="40" t="s">
        <v>562</v>
      </c>
      <c r="D6" s="41"/>
      <c r="E6" s="41" t="s">
        <v>562</v>
      </c>
      <c r="F6" s="38"/>
      <c r="G6" s="38" t="s">
        <v>562</v>
      </c>
    </row>
    <row r="7" spans="1:12">
      <c r="A7" s="37" t="s">
        <v>570</v>
      </c>
      <c r="B7" s="40"/>
      <c r="C7" s="40">
        <v>32.24</v>
      </c>
      <c r="D7" s="41"/>
      <c r="E7" s="41">
        <v>6.89</v>
      </c>
      <c r="F7" s="38"/>
      <c r="G7" s="38">
        <v>22.71</v>
      </c>
    </row>
    <row r="8" spans="1:12">
      <c r="A8" s="36" t="s">
        <v>559</v>
      </c>
      <c r="B8" s="40" t="s">
        <v>559</v>
      </c>
      <c r="C8" s="40"/>
      <c r="D8" s="41" t="s">
        <v>559</v>
      </c>
      <c r="E8" s="41"/>
      <c r="F8" s="38" t="s">
        <v>559</v>
      </c>
      <c r="G8" s="38"/>
    </row>
    <row r="9" spans="1:12">
      <c r="A9" s="36" t="s">
        <v>564</v>
      </c>
      <c r="B9" s="40"/>
      <c r="C9" s="42">
        <f>AVERAGE(C3,C5,C7)</f>
        <v>28.7</v>
      </c>
      <c r="D9" s="41"/>
      <c r="E9" s="43">
        <f xml:space="preserve"> AVERAGE(E3,E5,E7)</f>
        <v>7.0366666666666662</v>
      </c>
      <c r="F9" s="38"/>
      <c r="G9" s="39">
        <f>AVERAGE(G3,G5,G7)</f>
        <v>16.510000000000002</v>
      </c>
    </row>
    <row r="10" spans="1:12">
      <c r="A10" s="36" t="s">
        <v>559</v>
      </c>
      <c r="B10" s="40" t="s">
        <v>559</v>
      </c>
      <c r="C10" s="40" t="s">
        <v>559</v>
      </c>
      <c r="D10" s="41" t="s">
        <v>559</v>
      </c>
      <c r="E10" s="41" t="s">
        <v>559</v>
      </c>
      <c r="F10" s="38" t="s">
        <v>559</v>
      </c>
      <c r="G10" s="38" t="s">
        <v>559</v>
      </c>
    </row>
    <row r="11" spans="1:12">
      <c r="A11" s="36" t="s">
        <v>565</v>
      </c>
      <c r="B11" s="40" t="s">
        <v>566</v>
      </c>
      <c r="C11" s="40">
        <f>C39</f>
        <v>420.16800000000001</v>
      </c>
      <c r="D11" s="41" t="s">
        <v>567</v>
      </c>
      <c r="E11" s="41">
        <v>240.7</v>
      </c>
      <c r="F11" s="38" t="s">
        <v>568</v>
      </c>
      <c r="G11" s="90">
        <f>J64</f>
        <v>401.66833227848093</v>
      </c>
    </row>
    <row r="12" spans="1:12">
      <c r="A12" s="53"/>
    </row>
    <row r="13" spans="1:12" ht="15.75" thickBot="1">
      <c r="A13" s="111" t="s">
        <v>627</v>
      </c>
      <c r="B13" s="112" t="s">
        <v>629</v>
      </c>
      <c r="C13" s="112"/>
      <c r="D13" s="112"/>
      <c r="E13" s="112"/>
      <c r="F13" s="112"/>
      <c r="G13" s="112"/>
      <c r="H13" s="112"/>
      <c r="I13" s="112"/>
      <c r="J13" s="112"/>
    </row>
    <row r="14" spans="1:12">
      <c r="I14" s="125" t="s">
        <v>606</v>
      </c>
      <c r="J14" s="126"/>
    </row>
    <row r="15" spans="1:12">
      <c r="I15" s="91" t="s">
        <v>604</v>
      </c>
      <c r="J15" s="92" t="s">
        <v>605</v>
      </c>
    </row>
    <row r="16" spans="1:12">
      <c r="I16" s="95" t="s">
        <v>563</v>
      </c>
      <c r="J16" s="93">
        <f>D33</f>
        <v>28.292349726775953</v>
      </c>
    </row>
    <row r="17" spans="1:10">
      <c r="I17" s="95" t="s">
        <v>576</v>
      </c>
      <c r="J17" s="94">
        <f>C3</f>
        <v>31.5</v>
      </c>
    </row>
    <row r="18" spans="1:10">
      <c r="I18" s="95" t="s">
        <v>569</v>
      </c>
      <c r="J18" s="95">
        <f>C5</f>
        <v>22.36</v>
      </c>
    </row>
    <row r="19" spans="1:10">
      <c r="I19" s="95" t="s">
        <v>570</v>
      </c>
      <c r="J19" s="95">
        <f>C7</f>
        <v>32.24</v>
      </c>
    </row>
    <row r="23" spans="1:10" ht="15.75" thickBot="1"/>
    <row r="24" spans="1:10">
      <c r="I24" s="127" t="s">
        <v>606</v>
      </c>
      <c r="J24" s="128"/>
    </row>
    <row r="25" spans="1:10">
      <c r="I25" s="95" t="s">
        <v>604</v>
      </c>
      <c r="J25" s="95" t="s">
        <v>607</v>
      </c>
    </row>
    <row r="26" spans="1:10">
      <c r="I26" s="95" t="s">
        <v>563</v>
      </c>
      <c r="J26" s="94">
        <f>D51</f>
        <v>12.11</v>
      </c>
    </row>
    <row r="27" spans="1:10">
      <c r="I27" s="95" t="s">
        <v>576</v>
      </c>
      <c r="J27" s="95">
        <f>E3</f>
        <v>9.77</v>
      </c>
    </row>
    <row r="28" spans="1:10">
      <c r="A28" s="129" t="s">
        <v>585</v>
      </c>
      <c r="B28" s="130"/>
      <c r="C28" s="130"/>
      <c r="D28" s="131"/>
      <c r="I28" s="95" t="s">
        <v>569</v>
      </c>
      <c r="J28" s="95">
        <f>E5</f>
        <v>4.45</v>
      </c>
    </row>
    <row r="29" spans="1:10">
      <c r="A29" s="49" t="s">
        <v>577</v>
      </c>
      <c r="B29" s="50" t="s">
        <v>578</v>
      </c>
      <c r="C29" s="51" t="s">
        <v>579</v>
      </c>
      <c r="D29" s="51" t="s">
        <v>580</v>
      </c>
      <c r="I29" s="95" t="s">
        <v>570</v>
      </c>
      <c r="J29" s="95">
        <f>E7</f>
        <v>6.89</v>
      </c>
    </row>
    <row r="30" spans="1:10">
      <c r="A30" s="49">
        <v>2022</v>
      </c>
      <c r="B30" s="57">
        <f>Valuation!E26</f>
        <v>315.91000000000003</v>
      </c>
      <c r="C30" s="56">
        <f>Valuation!E55</f>
        <v>40.479999999999997</v>
      </c>
      <c r="D30" s="58">
        <f>B30/C30</f>
        <v>7.8041007905138349</v>
      </c>
    </row>
    <row r="31" spans="1:10">
      <c r="A31" s="49">
        <v>2023</v>
      </c>
      <c r="B31" s="48">
        <f>Valuation!D26</f>
        <v>310.85000000000002</v>
      </c>
      <c r="C31" s="54">
        <f>Valuation!D55</f>
        <v>31.51</v>
      </c>
      <c r="D31" s="55">
        <f>B31/C31</f>
        <v>9.8651221834338312</v>
      </c>
    </row>
    <row r="32" spans="1:10">
      <c r="A32" s="49">
        <v>2024</v>
      </c>
      <c r="B32" s="48">
        <f>Valuation!C26</f>
        <v>478.03</v>
      </c>
      <c r="C32" s="54">
        <f>Valuation!C55</f>
        <v>37.380000000000003</v>
      </c>
      <c r="D32" s="55">
        <f t="shared" ref="D32" si="0">B32/C32</f>
        <v>12.788389513108612</v>
      </c>
      <c r="I32" t="s">
        <v>574</v>
      </c>
    </row>
    <row r="33" spans="1:10">
      <c r="A33" s="62" t="s">
        <v>586</v>
      </c>
      <c r="B33" s="48">
        <f>Valuation!B26</f>
        <v>414.2</v>
      </c>
      <c r="C33" s="54">
        <v>14.64</v>
      </c>
      <c r="D33" s="59">
        <f>B33/C33</f>
        <v>28.292349726775953</v>
      </c>
      <c r="E33" s="108" t="s">
        <v>615</v>
      </c>
      <c r="F33" s="103" t="s">
        <v>617</v>
      </c>
    </row>
    <row r="34" spans="1:10">
      <c r="A34" s="113"/>
      <c r="B34" s="108" t="s">
        <v>612</v>
      </c>
      <c r="C34" s="108" t="s">
        <v>612</v>
      </c>
      <c r="D34" s="114"/>
      <c r="E34" s="108"/>
      <c r="F34" s="103"/>
    </row>
    <row r="35" spans="1:10">
      <c r="B35" s="103" t="s">
        <v>631</v>
      </c>
      <c r="C35" s="103" t="s">
        <v>630</v>
      </c>
      <c r="E35" s="108"/>
      <c r="F35" s="103"/>
    </row>
    <row r="36" spans="1:10">
      <c r="A36" s="47"/>
      <c r="B36" s="47"/>
      <c r="D36" s="47"/>
    </row>
    <row r="37" spans="1:10">
      <c r="A37" s="132" t="s">
        <v>581</v>
      </c>
      <c r="B37" s="132"/>
      <c r="C37" s="132"/>
      <c r="D37" s="47"/>
      <c r="I37" s="101" t="s">
        <v>608</v>
      </c>
      <c r="J37" s="101" t="s">
        <v>565</v>
      </c>
    </row>
    <row r="38" spans="1:10">
      <c r="A38" s="46" t="s">
        <v>582</v>
      </c>
      <c r="B38" s="46" t="s">
        <v>583</v>
      </c>
      <c r="C38" s="46" t="s">
        <v>584</v>
      </c>
      <c r="D38" s="47"/>
      <c r="I38" s="101"/>
      <c r="J38" s="101"/>
    </row>
    <row r="39" spans="1:10">
      <c r="A39" s="60">
        <f>C33</f>
        <v>14.64</v>
      </c>
      <c r="B39" s="60">
        <f>C9</f>
        <v>28.7</v>
      </c>
      <c r="C39" s="61">
        <f>A39 * B39</f>
        <v>420.16800000000001</v>
      </c>
      <c r="D39" s="47"/>
      <c r="I39" s="97" t="s">
        <v>609</v>
      </c>
      <c r="J39" s="99">
        <f>C11</f>
        <v>420.16800000000001</v>
      </c>
    </row>
    <row r="40" spans="1:10">
      <c r="C40" s="108" t="s">
        <v>612</v>
      </c>
      <c r="I40" s="96" t="s">
        <v>610</v>
      </c>
      <c r="J40" s="99">
        <f>E11</f>
        <v>240.7</v>
      </c>
    </row>
    <row r="41" spans="1:10">
      <c r="C41" s="107" t="s">
        <v>625</v>
      </c>
      <c r="I41" s="98" t="s">
        <v>611</v>
      </c>
      <c r="J41" s="100">
        <f>G11</f>
        <v>401.66833227848093</v>
      </c>
    </row>
    <row r="46" spans="1:10">
      <c r="A46" s="118" t="s">
        <v>592</v>
      </c>
      <c r="B46" s="118"/>
      <c r="C46" s="118"/>
      <c r="D46" s="118"/>
      <c r="E46" t="s">
        <v>574</v>
      </c>
    </row>
    <row r="47" spans="1:10">
      <c r="A47" s="63" t="s">
        <v>577</v>
      </c>
      <c r="B47" s="63" t="s">
        <v>587</v>
      </c>
      <c r="C47" s="63" t="s">
        <v>588</v>
      </c>
      <c r="D47" s="63" t="s">
        <v>589</v>
      </c>
    </row>
    <row r="48" spans="1:10">
      <c r="A48" s="63">
        <v>2022</v>
      </c>
      <c r="B48" s="70">
        <v>315.91000000000003</v>
      </c>
      <c r="C48" s="72">
        <f>B48/D48</f>
        <v>20.487029831387808</v>
      </c>
      <c r="D48" s="65">
        <f>Valuation!E37</f>
        <v>15.42</v>
      </c>
    </row>
    <row r="49" spans="1:12">
      <c r="A49" s="63">
        <v>2023</v>
      </c>
      <c r="B49" s="70">
        <v>310.85000000000002</v>
      </c>
      <c r="C49" s="72">
        <f t="shared" ref="C49:C51" si="1">B49/D49</f>
        <v>23.783473603672533</v>
      </c>
      <c r="D49" s="65">
        <f>Valuation!D37</f>
        <v>13.07</v>
      </c>
    </row>
    <row r="50" spans="1:12">
      <c r="A50" s="63">
        <v>2024</v>
      </c>
      <c r="B50" s="70">
        <v>478.03</v>
      </c>
      <c r="C50" s="72">
        <f t="shared" si="1"/>
        <v>32.212264150943398</v>
      </c>
      <c r="D50" s="65">
        <f>Valuation!C37</f>
        <v>14.84</v>
      </c>
    </row>
    <row r="51" spans="1:12">
      <c r="A51" s="63" t="s">
        <v>586</v>
      </c>
      <c r="B51" s="71">
        <v>414.2</v>
      </c>
      <c r="C51" s="72">
        <f t="shared" si="1"/>
        <v>34.203137902559867</v>
      </c>
      <c r="D51" s="64">
        <f>Valuation!B37</f>
        <v>12.11</v>
      </c>
      <c r="E51" s="108" t="s">
        <v>615</v>
      </c>
      <c r="F51" s="103" t="s">
        <v>616</v>
      </c>
    </row>
    <row r="52" spans="1:12">
      <c r="A52" s="68"/>
      <c r="B52" s="47"/>
      <c r="C52" s="69"/>
      <c r="D52" s="47"/>
    </row>
    <row r="53" spans="1:12">
      <c r="A53" s="119" t="s">
        <v>590</v>
      </c>
      <c r="B53" s="119"/>
      <c r="C53" s="119"/>
      <c r="D53" s="47"/>
    </row>
    <row r="54" spans="1:12">
      <c r="A54" s="66" t="s">
        <v>593</v>
      </c>
      <c r="B54" s="67" t="s">
        <v>591</v>
      </c>
      <c r="C54" s="67" t="s">
        <v>584</v>
      </c>
      <c r="D54" s="47"/>
    </row>
    <row r="55" spans="1:12">
      <c r="A55" s="104">
        <f>B51/D51</f>
        <v>34.203137902559867</v>
      </c>
      <c r="B55" s="105">
        <f>E9</f>
        <v>7.0366666666666662</v>
      </c>
      <c r="C55" s="106">
        <f>A55*B55</f>
        <v>240.67608037434624</v>
      </c>
      <c r="D55" s="47"/>
    </row>
    <row r="56" spans="1:12">
      <c r="A56" s="102" t="s">
        <v>612</v>
      </c>
      <c r="C56" s="108" t="s">
        <v>612</v>
      </c>
    </row>
    <row r="57" spans="1:12">
      <c r="A57" s="107" t="s">
        <v>613</v>
      </c>
      <c r="C57" s="107" t="s">
        <v>614</v>
      </c>
    </row>
    <row r="58" spans="1:12">
      <c r="A58" s="102"/>
    </row>
    <row r="60" spans="1:12">
      <c r="A60" s="120" t="s">
        <v>603</v>
      </c>
      <c r="B60" s="121"/>
      <c r="C60" s="121"/>
      <c r="E60" s="47"/>
      <c r="F60" s="83" t="s">
        <v>557</v>
      </c>
      <c r="G60" s="84" t="s">
        <v>594</v>
      </c>
      <c r="H60" s="73" t="s">
        <v>595</v>
      </c>
      <c r="I60" s="79"/>
      <c r="J60" s="79"/>
    </row>
    <row r="61" spans="1:12">
      <c r="A61" s="81" t="s">
        <v>577</v>
      </c>
      <c r="B61" s="82" t="s">
        <v>596</v>
      </c>
      <c r="C61" s="82" t="s">
        <v>597</v>
      </c>
      <c r="E61" s="109" t="s">
        <v>619</v>
      </c>
      <c r="F61" s="74">
        <f>B65</f>
        <v>2955.72</v>
      </c>
      <c r="G61" s="80">
        <f>G9</f>
        <v>16.510000000000002</v>
      </c>
      <c r="H61" s="76">
        <f>F61 * G61</f>
        <v>48798.9372</v>
      </c>
      <c r="I61" s="108" t="s">
        <v>615</v>
      </c>
      <c r="J61" s="110" t="s">
        <v>620</v>
      </c>
    </row>
    <row r="62" spans="1:12">
      <c r="A62" s="81">
        <v>2022</v>
      </c>
      <c r="B62" s="38">
        <f>'Financial Summary'!E61</f>
        <v>1598.96</v>
      </c>
      <c r="C62" s="87">
        <f>0.256</f>
        <v>0.25600000000000001</v>
      </c>
      <c r="E62" s="47"/>
      <c r="F62" s="122" t="s">
        <v>598</v>
      </c>
      <c r="G62" s="123"/>
      <c r="H62" s="123"/>
      <c r="I62" s="123"/>
      <c r="J62" s="124"/>
    </row>
    <row r="63" spans="1:12">
      <c r="A63" s="81">
        <v>2023</v>
      </c>
      <c r="B63" s="38">
        <f>'Financial Summary'!D61</f>
        <v>2017.93</v>
      </c>
      <c r="C63" s="86">
        <v>0.249</v>
      </c>
      <c r="E63" s="47"/>
      <c r="F63" s="77" t="s">
        <v>595</v>
      </c>
      <c r="G63" s="75" t="s">
        <v>599</v>
      </c>
      <c r="H63" s="75" t="s">
        <v>600</v>
      </c>
      <c r="I63" s="75" t="s">
        <v>601</v>
      </c>
      <c r="J63" s="75" t="s">
        <v>584</v>
      </c>
    </row>
    <row r="64" spans="1:12">
      <c r="A64" s="81">
        <v>2024</v>
      </c>
      <c r="B64" s="38">
        <f>'Financial Summary'!C61</f>
        <v>2586.56</v>
      </c>
      <c r="C64" s="86">
        <v>0.26900000000000002</v>
      </c>
      <c r="E64" s="47"/>
      <c r="F64" s="74">
        <f>H61</f>
        <v>48798.9372</v>
      </c>
      <c r="G64" s="76">
        <f>'Financial Summary'!B26</f>
        <v>1984.34</v>
      </c>
      <c r="H64" s="78">
        <f>'Financial Summary'!B29</f>
        <v>12.4</v>
      </c>
      <c r="I64" s="89">
        <f>'Financial Summary'!B64</f>
        <v>126.4</v>
      </c>
      <c r="J64" s="85">
        <f>(F64-H64+G64)/I64</f>
        <v>401.66833227848093</v>
      </c>
      <c r="K64" s="108" t="s">
        <v>615</v>
      </c>
      <c r="L64" s="103" t="s">
        <v>624</v>
      </c>
    </row>
    <row r="65" spans="1:10">
      <c r="A65" s="81" t="s">
        <v>602</v>
      </c>
      <c r="B65" s="52">
        <f>'Financial Summary'!B61</f>
        <v>2955.72</v>
      </c>
      <c r="C65" s="88">
        <v>0.27900000000000003</v>
      </c>
      <c r="E65" s="47"/>
      <c r="F65" s="47"/>
      <c r="G65" s="108" t="s">
        <v>612</v>
      </c>
      <c r="H65" s="108" t="s">
        <v>612</v>
      </c>
      <c r="I65" s="108" t="s">
        <v>612</v>
      </c>
      <c r="J65" s="47"/>
    </row>
    <row r="66" spans="1:10">
      <c r="B66" s="108" t="s">
        <v>612</v>
      </c>
      <c r="C66" s="108" t="s">
        <v>612</v>
      </c>
      <c r="G66" s="103" t="s">
        <v>621</v>
      </c>
      <c r="H66" s="103" t="s">
        <v>622</v>
      </c>
      <c r="I66" s="103" t="s">
        <v>623</v>
      </c>
    </row>
    <row r="67" spans="1:10">
      <c r="B67" s="103" t="s">
        <v>618</v>
      </c>
      <c r="C67" s="102" t="s">
        <v>626</v>
      </c>
    </row>
  </sheetData>
  <mergeCells count="16">
    <mergeCell ref="J4:L4"/>
    <mergeCell ref="I1:L1"/>
    <mergeCell ref="J2:L2"/>
    <mergeCell ref="J3:L3"/>
    <mergeCell ref="A1:G1"/>
    <mergeCell ref="B2:C2"/>
    <mergeCell ref="D2:E2"/>
    <mergeCell ref="F2:G2"/>
    <mergeCell ref="A46:D46"/>
    <mergeCell ref="A53:C53"/>
    <mergeCell ref="A60:C60"/>
    <mergeCell ref="F62:J62"/>
    <mergeCell ref="I14:J14"/>
    <mergeCell ref="I24:J24"/>
    <mergeCell ref="A28:D28"/>
    <mergeCell ref="A37:C37"/>
  </mergeCells>
  <hyperlinks>
    <hyperlink ref="J2" r:id="rId1" xr:uid="{38A7E776-08E5-4F58-84FC-54B519D6B254}"/>
    <hyperlink ref="J3" r:id="rId2" xr:uid="{9866A73C-D552-4408-BBED-89E29163BA2C}"/>
    <hyperlink ref="J4" r:id="rId3" xr:uid="{B5FD1428-45F1-4BEC-828C-526D99A25380}"/>
  </hyperlinks>
  <pageMargins left="0.7" right="0.7" top="0.75" bottom="0.75" header="0.3" footer="0.3"/>
  <pageSetup orientation="portrait" r:id="rId4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856E-E8F3-448D-A2B1-E8E69628498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423B-AE41-420C-91C3-A1B97A8BDA1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34"/>
  <sheetViews>
    <sheetView workbookViewId="0"/>
  </sheetViews>
  <sheetFormatPr defaultRowHeight="15" outlineLevelRow="1"/>
  <cols>
    <col min="1" max="1" width="85.7109375" customWidth="1"/>
    <col min="2" max="8" width="15.7109375" customWidth="1"/>
  </cols>
  <sheetData>
    <row r="1" spans="1:8" ht="15" customHeight="1">
      <c r="A1" s="1" t="s">
        <v>539</v>
      </c>
      <c r="B1" s="2"/>
      <c r="C1" s="2"/>
      <c r="D1" s="2"/>
      <c r="E1" s="2"/>
      <c r="F1" s="2"/>
      <c r="G1" s="2"/>
      <c r="H1" s="2"/>
    </row>
    <row r="2" spans="1:8" ht="15" customHeight="1">
      <c r="A2" s="3" t="s">
        <v>1</v>
      </c>
      <c r="B2" s="4" t="s">
        <v>2</v>
      </c>
    </row>
    <row r="3" spans="1:8">
      <c r="A3" s="3" t="s">
        <v>3</v>
      </c>
      <c r="B3" s="3" t="s">
        <v>4</v>
      </c>
    </row>
    <row r="4" spans="1:8">
      <c r="A4" s="3" t="s">
        <v>5</v>
      </c>
      <c r="B4" s="3" t="s">
        <v>6</v>
      </c>
    </row>
    <row r="5" spans="1:8">
      <c r="A5" s="3" t="s">
        <v>7</v>
      </c>
      <c r="B5" s="3" t="s">
        <v>8</v>
      </c>
    </row>
    <row r="6" spans="1:8">
      <c r="A6" s="3" t="s">
        <v>9</v>
      </c>
      <c r="B6" s="3" t="s">
        <v>10</v>
      </c>
    </row>
    <row r="7" spans="1:8">
      <c r="A7" s="3" t="s">
        <v>11</v>
      </c>
      <c r="B7" s="3" t="s">
        <v>12</v>
      </c>
    </row>
    <row r="8" spans="1:8">
      <c r="A8" s="3" t="s">
        <v>13</v>
      </c>
      <c r="B8" s="3" t="s">
        <v>14</v>
      </c>
    </row>
    <row r="9" spans="1:8">
      <c r="A9" s="3" t="s">
        <v>15</v>
      </c>
      <c r="B9" s="3" t="s">
        <v>16</v>
      </c>
    </row>
    <row r="10" spans="1:8">
      <c r="A10" s="3" t="s">
        <v>540</v>
      </c>
      <c r="B10" s="3" t="s">
        <v>541</v>
      </c>
    </row>
    <row r="11" spans="1:8">
      <c r="A11" s="6" t="s">
        <v>18</v>
      </c>
      <c r="B11" s="148" t="s">
        <v>19</v>
      </c>
      <c r="C11" s="115" t="s">
        <v>20</v>
      </c>
      <c r="D11" s="115" t="s">
        <v>21</v>
      </c>
      <c r="E11" s="115" t="s">
        <v>22</v>
      </c>
      <c r="F11" s="115" t="s">
        <v>23</v>
      </c>
      <c r="G11" s="115" t="s">
        <v>24</v>
      </c>
      <c r="H11" s="115" t="s">
        <v>25</v>
      </c>
    </row>
    <row r="12" spans="1:8" ht="15" customHeight="1" outlineLevel="1">
      <c r="A12" s="7" t="s">
        <v>26</v>
      </c>
      <c r="B12" s="117">
        <v>45690</v>
      </c>
      <c r="C12" s="117">
        <v>45319</v>
      </c>
      <c r="D12" s="117">
        <v>44955</v>
      </c>
      <c r="E12" s="117">
        <v>44591</v>
      </c>
      <c r="F12" s="117">
        <v>44227</v>
      </c>
      <c r="G12" s="117">
        <v>43863</v>
      </c>
      <c r="H12" s="117">
        <v>43499</v>
      </c>
    </row>
    <row r="13" spans="1:8" ht="15" customHeight="1" outlineLevel="1">
      <c r="A13" s="7" t="s">
        <v>27</v>
      </c>
      <c r="B13" s="117">
        <v>45690</v>
      </c>
      <c r="C13" s="117">
        <v>45319</v>
      </c>
      <c r="D13" s="117">
        <v>44955</v>
      </c>
      <c r="E13" s="117">
        <v>44591</v>
      </c>
      <c r="F13" s="117">
        <v>44227</v>
      </c>
      <c r="G13" s="117">
        <v>43863</v>
      </c>
      <c r="H13" s="117">
        <v>43499</v>
      </c>
    </row>
    <row r="14" spans="1:8" ht="15" customHeight="1" outlineLevel="1">
      <c r="A14" s="7" t="s">
        <v>28</v>
      </c>
      <c r="B14" s="116" t="s">
        <v>29</v>
      </c>
      <c r="C14" s="116" t="s">
        <v>29</v>
      </c>
      <c r="D14" s="116" t="s">
        <v>29</v>
      </c>
      <c r="E14" s="116" t="s">
        <v>29</v>
      </c>
      <c r="F14" s="116" t="s">
        <v>29</v>
      </c>
      <c r="G14" s="116" t="s">
        <v>29</v>
      </c>
      <c r="H14" s="116" t="s">
        <v>29</v>
      </c>
    </row>
    <row r="15" spans="1:8" ht="15" customHeight="1" outlineLevel="1">
      <c r="A15" s="7" t="s">
        <v>30</v>
      </c>
      <c r="B15" s="116" t="s">
        <v>31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31</v>
      </c>
      <c r="H15" s="116" t="s">
        <v>31</v>
      </c>
    </row>
    <row r="17" spans="1:8">
      <c r="A17" s="8" t="s">
        <v>542</v>
      </c>
      <c r="B17" s="6"/>
      <c r="C17" s="6"/>
      <c r="D17" s="6"/>
      <c r="E17" s="6"/>
      <c r="F17" s="6"/>
      <c r="G17" s="6"/>
      <c r="H17" s="6"/>
    </row>
    <row r="18" spans="1:8">
      <c r="A18" s="8" t="s">
        <v>33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9" t="s">
        <v>41</v>
      </c>
    </row>
    <row r="19" spans="1:8" ht="15" customHeight="1">
      <c r="A19" s="23" t="s">
        <v>543</v>
      </c>
      <c r="B19" s="24"/>
      <c r="C19" s="24"/>
      <c r="D19" s="24"/>
      <c r="E19" s="24"/>
      <c r="F19" s="24"/>
      <c r="G19" s="24"/>
      <c r="H19" s="24"/>
    </row>
    <row r="20" spans="1:8" ht="15" customHeight="1">
      <c r="A20" s="22" t="s">
        <v>544</v>
      </c>
      <c r="B20" s="15"/>
      <c r="C20" s="15"/>
      <c r="D20" s="15"/>
      <c r="E20" s="15"/>
      <c r="F20" s="15"/>
      <c r="G20" s="15"/>
      <c r="H20" s="16">
        <v>146.69</v>
      </c>
    </row>
    <row r="21" spans="1:8" ht="15" customHeight="1">
      <c r="A21" s="23" t="s">
        <v>545</v>
      </c>
      <c r="B21" s="24"/>
      <c r="C21" s="24"/>
      <c r="D21" s="24"/>
      <c r="E21" s="24"/>
      <c r="F21" s="24"/>
      <c r="G21" s="24"/>
      <c r="H21" s="24"/>
    </row>
    <row r="22" spans="1:8" ht="15" customHeight="1">
      <c r="A22" s="22" t="s">
        <v>546</v>
      </c>
      <c r="B22" s="30">
        <v>4</v>
      </c>
      <c r="C22" s="30">
        <v>8</v>
      </c>
      <c r="D22" s="30">
        <v>19</v>
      </c>
      <c r="E22" s="30"/>
      <c r="F22" s="30"/>
      <c r="G22" s="30">
        <v>9</v>
      </c>
      <c r="H22" s="30">
        <v>7</v>
      </c>
    </row>
    <row r="23" spans="1:8" ht="15" customHeight="1">
      <c r="A23" s="22" t="s">
        <v>547</v>
      </c>
      <c r="B23" s="15"/>
      <c r="C23" s="15"/>
      <c r="D23" s="15"/>
      <c r="E23" s="15"/>
      <c r="F23" s="15"/>
      <c r="G23" s="15"/>
      <c r="H23" s="15">
        <v>105452000</v>
      </c>
    </row>
    <row r="24" spans="1:8" ht="15" customHeight="1">
      <c r="A24" s="23" t="s">
        <v>543</v>
      </c>
      <c r="B24" s="24"/>
      <c r="C24" s="24"/>
      <c r="D24" s="24"/>
      <c r="E24" s="24"/>
      <c r="F24" s="24"/>
      <c r="G24" s="24"/>
      <c r="H24" s="24"/>
    </row>
    <row r="25" spans="1:8" ht="15" customHeight="1">
      <c r="A25" s="22" t="s">
        <v>548</v>
      </c>
      <c r="B25" s="30">
        <v>59.2</v>
      </c>
      <c r="C25" s="30">
        <v>58.3</v>
      </c>
      <c r="D25" s="30">
        <v>55.4</v>
      </c>
      <c r="E25" s="30">
        <v>57.7</v>
      </c>
      <c r="F25" s="30">
        <v>56</v>
      </c>
      <c r="G25" s="30">
        <v>55.9</v>
      </c>
      <c r="H25" s="30">
        <v>55.2</v>
      </c>
    </row>
    <row r="26" spans="1:8" ht="15" customHeight="1">
      <c r="A26" s="23" t="s">
        <v>549</v>
      </c>
      <c r="B26" s="24"/>
      <c r="C26" s="24"/>
      <c r="D26" s="24"/>
      <c r="E26" s="24"/>
      <c r="F26" s="24"/>
      <c r="G26" s="24"/>
      <c r="H26" s="24"/>
    </row>
    <row r="27" spans="1:8" ht="15" customHeight="1">
      <c r="A27" s="22" t="s">
        <v>550</v>
      </c>
      <c r="B27" s="17">
        <v>9</v>
      </c>
      <c r="C27" s="17">
        <v>7</v>
      </c>
      <c r="D27" s="17">
        <v>6</v>
      </c>
      <c r="E27" s="17">
        <v>3</v>
      </c>
      <c r="F27" s="17">
        <v>10</v>
      </c>
      <c r="G27" s="17">
        <v>6</v>
      </c>
      <c r="H27" s="17">
        <v>3</v>
      </c>
    </row>
    <row r="28" spans="1:8" ht="15" customHeight="1">
      <c r="A28" s="22" t="s">
        <v>551</v>
      </c>
      <c r="B28" s="17">
        <v>56</v>
      </c>
      <c r="C28" s="17">
        <v>56</v>
      </c>
      <c r="D28" s="17">
        <v>87</v>
      </c>
      <c r="E28" s="17">
        <v>56</v>
      </c>
      <c r="F28" s="17">
        <v>40</v>
      </c>
      <c r="G28" s="17">
        <v>57</v>
      </c>
      <c r="H28" s="17">
        <v>39</v>
      </c>
    </row>
    <row r="29" spans="1:8" ht="15" customHeight="1">
      <c r="A29" s="22" t="s">
        <v>552</v>
      </c>
      <c r="B29" s="16">
        <v>767</v>
      </c>
      <c r="C29" s="16">
        <v>711</v>
      </c>
      <c r="D29" s="16">
        <v>655</v>
      </c>
      <c r="E29" s="16">
        <v>574</v>
      </c>
      <c r="F29" s="16">
        <v>521</v>
      </c>
      <c r="G29" s="16">
        <v>491</v>
      </c>
      <c r="H29" s="16">
        <v>440</v>
      </c>
    </row>
    <row r="30" spans="1:8" ht="15" customHeight="1">
      <c r="A30" s="23" t="s">
        <v>80</v>
      </c>
      <c r="B30" s="24"/>
      <c r="C30" s="24"/>
      <c r="D30" s="24"/>
      <c r="E30" s="24"/>
      <c r="F30" s="24"/>
      <c r="G30" s="24"/>
      <c r="H30" s="24"/>
    </row>
    <row r="31" spans="1:8" ht="15" customHeight="1">
      <c r="A31" s="22" t="s">
        <v>553</v>
      </c>
      <c r="B31" s="15">
        <v>4570446000</v>
      </c>
      <c r="C31" s="15">
        <v>4311110000</v>
      </c>
      <c r="D31" s="15">
        <v>3699791000</v>
      </c>
      <c r="E31" s="15">
        <v>2777944000</v>
      </c>
      <c r="F31" s="15">
        <v>2284068000</v>
      </c>
      <c r="G31" s="15">
        <v>1137822000</v>
      </c>
      <c r="H31" s="15">
        <v>858856000</v>
      </c>
    </row>
    <row r="32" spans="1:8" ht="15" customHeight="1">
      <c r="A32" s="22" t="s">
        <v>554</v>
      </c>
      <c r="B32" s="15">
        <v>5007872000</v>
      </c>
      <c r="C32" s="15">
        <v>4410956000</v>
      </c>
      <c r="D32" s="15">
        <v>3648127000</v>
      </c>
      <c r="E32" s="15">
        <v>2821497000</v>
      </c>
      <c r="F32" s="15">
        <v>1658807000</v>
      </c>
      <c r="G32" s="15">
        <v>2501067000</v>
      </c>
      <c r="H32" s="15">
        <v>2126363000</v>
      </c>
    </row>
    <row r="33" spans="1:8" ht="15" customHeight="1">
      <c r="A33" s="23" t="s">
        <v>555</v>
      </c>
      <c r="B33" s="24"/>
      <c r="C33" s="24"/>
      <c r="D33" s="24"/>
      <c r="E33" s="24"/>
      <c r="F33" s="24"/>
      <c r="G33" s="24"/>
      <c r="H33" s="24"/>
    </row>
    <row r="34" spans="1:8" ht="15" customHeight="1">
      <c r="A34" s="22" t="s">
        <v>556</v>
      </c>
      <c r="B34" s="15">
        <v>313269.05</v>
      </c>
      <c r="C34" s="15">
        <v>275643.32</v>
      </c>
      <c r="D34" s="15">
        <v>239225.33</v>
      </c>
      <c r="E34" s="15">
        <v>197418.96</v>
      </c>
      <c r="F34" s="15">
        <v>172613.85</v>
      </c>
      <c r="G34" s="15">
        <v>156077.10999999999</v>
      </c>
      <c r="H34" s="15">
        <v>132479.74</v>
      </c>
    </row>
  </sheetData>
  <mergeCells count="35">
    <mergeCell ref="H15"/>
    <mergeCell ref="F15"/>
    <mergeCell ref="G12"/>
    <mergeCell ref="G13"/>
    <mergeCell ref="G14"/>
    <mergeCell ref="G15"/>
    <mergeCell ref="F12"/>
    <mergeCell ref="F13"/>
    <mergeCell ref="F14"/>
    <mergeCell ref="H12"/>
    <mergeCell ref="H13"/>
    <mergeCell ref="H14"/>
    <mergeCell ref="D15"/>
    <mergeCell ref="E12"/>
    <mergeCell ref="E13"/>
    <mergeCell ref="E14"/>
    <mergeCell ref="E15"/>
    <mergeCell ref="D12"/>
    <mergeCell ref="D13"/>
    <mergeCell ref="D14"/>
    <mergeCell ref="B11"/>
    <mergeCell ref="C11"/>
    <mergeCell ref="B15"/>
    <mergeCell ref="C12"/>
    <mergeCell ref="C13"/>
    <mergeCell ref="C14"/>
    <mergeCell ref="C15"/>
    <mergeCell ref="B12"/>
    <mergeCell ref="B13"/>
    <mergeCell ref="B14"/>
    <mergeCell ref="D11"/>
    <mergeCell ref="E11"/>
    <mergeCell ref="F11"/>
    <mergeCell ref="G11"/>
    <mergeCell ref="H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Business Line By Segm</vt:lpstr>
      <vt:lpstr>Business Line By Stat</vt:lpstr>
      <vt:lpstr>Geographic Line By Se</vt:lpstr>
      <vt:lpstr>Geographic Line By St</vt:lpstr>
      <vt:lpstr>Product Line By Segme</vt:lpstr>
      <vt:lpstr>Product Line By State</vt:lpstr>
      <vt:lpstr>Income Statement</vt:lpstr>
      <vt:lpstr>Balance Sheet</vt:lpstr>
      <vt:lpstr>Cash Flow</vt:lpstr>
      <vt:lpstr>Pension</vt:lpstr>
      <vt:lpstr>Financial Summary</vt:lpstr>
      <vt:lpstr>Valuation</vt:lpstr>
      <vt:lpstr>VALUATION CALC</vt:lpstr>
      <vt:lpstr>DCF</vt:lpstr>
      <vt:lpstr>MULTIPLES</vt:lpstr>
      <vt:lpstr>Operating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 Salman</dc:creator>
  <cp:lastModifiedBy>Ali Radhi</cp:lastModifiedBy>
  <dcterms:created xsi:type="dcterms:W3CDTF">2025-09-22T09:29:08Z</dcterms:created>
  <dcterms:modified xsi:type="dcterms:W3CDTF">2025-12-02T09:40:42Z</dcterms:modified>
</cp:coreProperties>
</file>