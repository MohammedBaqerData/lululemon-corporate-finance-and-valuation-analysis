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3gamez\Desktop\"/>
    </mc:Choice>
  </mc:AlternateContent>
  <xr:revisionPtr revIDLastSave="0" documentId="8_{00C1F1E8-971F-4EA7-9FC1-42CA4B94C2F9}" xr6:coauthVersionLast="47" xr6:coauthVersionMax="47" xr10:uidLastSave="{00000000-0000-0000-0000-000000000000}"/>
  <bookViews>
    <workbookView xWindow="19095" yWindow="0" windowWidth="19410" windowHeight="20985" firstSheet="1" activeTab="2" xr2:uid="{CEB46671-96B1-43DA-8627-9D4AE2370EE5}"/>
  </bookViews>
  <sheets>
    <sheet name="Initial Investment &amp; Cashflows" sheetId="1" r:id="rId1"/>
    <sheet name="Capital budgeting" sheetId="2" r:id="rId2"/>
    <sheet name="WACC" sheetId="4" r:id="rId3"/>
    <sheet name="ANPV" sheetId="5" r:id="rId4"/>
    <sheet name="sensitivity analysi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B40" i="3"/>
  <c r="B4" i="4"/>
  <c r="F18" i="5"/>
  <c r="F7" i="5"/>
  <c r="F6" i="5"/>
  <c r="B22" i="5"/>
  <c r="E20" i="5"/>
  <c r="F19" i="5"/>
  <c r="F20" i="5"/>
  <c r="E19" i="5"/>
  <c r="E18" i="5"/>
  <c r="B16" i="5"/>
  <c r="B9" i="5"/>
  <c r="B3" i="5"/>
  <c r="F8" i="5"/>
  <c r="F9" i="5"/>
  <c r="F10" i="5"/>
  <c r="F5" i="5"/>
  <c r="E6" i="5"/>
  <c r="E7" i="5"/>
  <c r="E8" i="5"/>
  <c r="E9" i="5"/>
  <c r="E10" i="5"/>
  <c r="E5" i="5"/>
  <c r="B36" i="2"/>
  <c r="B15" i="2"/>
  <c r="B80" i="2"/>
  <c r="B95" i="2"/>
  <c r="C182" i="1"/>
  <c r="B47" i="1"/>
  <c r="B46" i="1"/>
  <c r="B46" i="4"/>
  <c r="B49" i="4"/>
  <c r="B47" i="4"/>
  <c r="B43" i="4"/>
  <c r="B52" i="4" s="1"/>
  <c r="B50" i="4" s="1"/>
  <c r="B40" i="4" s="1"/>
  <c r="B42" i="4"/>
  <c r="B24" i="4"/>
  <c r="B25" i="4"/>
  <c r="B34" i="4" s="1"/>
  <c r="B32" i="4" s="1"/>
  <c r="B22" i="4" s="1"/>
  <c r="B45" i="4"/>
  <c r="B44" i="4"/>
  <c r="B28" i="4"/>
  <c r="B31" i="4"/>
  <c r="B29" i="4"/>
  <c r="B27" i="4"/>
  <c r="B26" i="4"/>
  <c r="B14" i="4"/>
  <c r="B10" i="4"/>
  <c r="B9" i="4"/>
  <c r="B8" i="4"/>
  <c r="B41" i="4" l="1"/>
  <c r="B23" i="4"/>
  <c r="B185" i="1"/>
  <c r="B195" i="1" s="1"/>
  <c r="D195" i="1" s="1"/>
  <c r="B114" i="2"/>
  <c r="B56" i="2"/>
  <c r="B50" i="2"/>
  <c r="B222" i="1"/>
  <c r="C222" i="1" s="1"/>
  <c r="C221" i="1"/>
  <c r="D245" i="1" s="1"/>
  <c r="C269" i="1" s="1"/>
  <c r="C220" i="1"/>
  <c r="C245" i="1" s="1"/>
  <c r="C268" i="1" s="1"/>
  <c r="C219" i="1"/>
  <c r="B245" i="1" s="1"/>
  <c r="C267" i="1" s="1"/>
  <c r="C209" i="1"/>
  <c r="C129" i="1"/>
  <c r="D77" i="1"/>
  <c r="C128" i="1"/>
  <c r="D76" i="1"/>
  <c r="C127" i="1"/>
  <c r="D75" i="1"/>
  <c r="C126" i="1"/>
  <c r="D74" i="1"/>
  <c r="C125" i="1"/>
  <c r="D73" i="1"/>
  <c r="C124" i="1"/>
  <c r="D72" i="1"/>
  <c r="G104" i="1"/>
  <c r="F104" i="1"/>
  <c r="E104" i="1"/>
  <c r="D104" i="1"/>
  <c r="C104" i="1"/>
  <c r="B104" i="1"/>
  <c r="G37" i="1"/>
  <c r="B88" i="1"/>
  <c r="B89" i="1"/>
  <c r="B90" i="1"/>
  <c r="B91" i="1"/>
  <c r="B92" i="1"/>
  <c r="B87" i="1"/>
  <c r="C78" i="1"/>
  <c r="E59" i="1"/>
  <c r="E60" i="1"/>
  <c r="E61" i="1"/>
  <c r="E62" i="1"/>
  <c r="E63" i="1"/>
  <c r="E58" i="1"/>
  <c r="D64" i="1"/>
  <c r="C64" i="1"/>
  <c r="B64" i="1"/>
  <c r="C88" i="1"/>
  <c r="B48" i="1"/>
  <c r="C89" i="1" s="1"/>
  <c r="B49" i="1"/>
  <c r="C90" i="1" s="1"/>
  <c r="B50" i="1"/>
  <c r="C91" i="1" s="1"/>
  <c r="B51" i="1"/>
  <c r="C92" i="1" s="1"/>
  <c r="D46" i="1"/>
  <c r="B37" i="1"/>
  <c r="F32" i="1"/>
  <c r="C102" i="1" s="1"/>
  <c r="F33" i="1"/>
  <c r="D102" i="1" s="1"/>
  <c r="F34" i="1"/>
  <c r="E102" i="1" s="1"/>
  <c r="F35" i="1"/>
  <c r="F102" i="1" s="1"/>
  <c r="F36" i="1"/>
  <c r="G102" i="1" s="1"/>
  <c r="F31" i="1"/>
  <c r="B102" i="1" s="1"/>
  <c r="D32" i="1"/>
  <c r="D33" i="1"/>
  <c r="D34" i="1"/>
  <c r="D35" i="1"/>
  <c r="D36" i="1"/>
  <c r="D31" i="1"/>
  <c r="B243" i="1" l="1"/>
  <c r="C231" i="1"/>
  <c r="C270" i="1"/>
  <c r="C277" i="1" s="1"/>
  <c r="C282" i="1" s="1"/>
  <c r="B186" i="1"/>
  <c r="D185" i="1"/>
  <c r="B242" i="1" s="1"/>
  <c r="B206" i="1"/>
  <c r="B196" i="1"/>
  <c r="D206" i="1"/>
  <c r="E64" i="1"/>
  <c r="D78" i="1"/>
  <c r="D47" i="1"/>
  <c r="F103" i="1"/>
  <c r="F105" i="1" s="1"/>
  <c r="H35" i="1"/>
  <c r="H32" i="1"/>
  <c r="D37" i="1"/>
  <c r="D88" i="1"/>
  <c r="G103" i="1"/>
  <c r="G114" i="1" s="1"/>
  <c r="D91" i="1"/>
  <c r="D90" i="1"/>
  <c r="D103" i="1"/>
  <c r="D105" i="1" s="1"/>
  <c r="C103" i="1"/>
  <c r="C114" i="1" s="1"/>
  <c r="F37" i="1"/>
  <c r="D51" i="1"/>
  <c r="D92" i="1"/>
  <c r="E103" i="1"/>
  <c r="E105" i="1" s="1"/>
  <c r="H31" i="1"/>
  <c r="D50" i="1"/>
  <c r="D49" i="1"/>
  <c r="H36" i="1"/>
  <c r="D48" i="1"/>
  <c r="D89" i="1"/>
  <c r="H34" i="1"/>
  <c r="H33" i="1"/>
  <c r="C87" i="1"/>
  <c r="B103" i="1" s="1"/>
  <c r="B93" i="1"/>
  <c r="B52" i="1"/>
  <c r="B244" i="1" l="1"/>
  <c r="B231" i="1"/>
  <c r="F114" i="1"/>
  <c r="F115" i="1" s="1"/>
  <c r="F116" i="1" s="1"/>
  <c r="G105" i="1"/>
  <c r="B246" i="1"/>
  <c r="B257" i="1" s="1"/>
  <c r="B187" i="1"/>
  <c r="D186" i="1"/>
  <c r="C242" i="1" s="1"/>
  <c r="D196" i="1"/>
  <c r="B207" i="1"/>
  <c r="D52" i="1"/>
  <c r="C115" i="1"/>
  <c r="B125" i="1" s="1"/>
  <c r="G115" i="1"/>
  <c r="G116" i="1" s="1"/>
  <c r="D87" i="1"/>
  <c r="D93" i="1" s="1"/>
  <c r="C93" i="1"/>
  <c r="C105" i="1"/>
  <c r="H37" i="1"/>
  <c r="E114" i="1"/>
  <c r="D114" i="1"/>
  <c r="C232" i="1" l="1"/>
  <c r="C243" i="1"/>
  <c r="D231" i="1"/>
  <c r="B258" i="1"/>
  <c r="B259" i="1" s="1"/>
  <c r="B267" i="1" s="1"/>
  <c r="D267" i="1" s="1"/>
  <c r="B293" i="1" s="1"/>
  <c r="D187" i="1"/>
  <c r="D242" i="1" s="1"/>
  <c r="B197" i="1"/>
  <c r="D207" i="1"/>
  <c r="B129" i="1"/>
  <c r="C116" i="1"/>
  <c r="B128" i="1"/>
  <c r="D115" i="1"/>
  <c r="B126" i="1" s="1"/>
  <c r="B105" i="1"/>
  <c r="B114" i="1"/>
  <c r="D129" i="1"/>
  <c r="B155" i="1" s="1"/>
  <c r="E115" i="1"/>
  <c r="B127" i="1" s="1"/>
  <c r="D125" i="1"/>
  <c r="B151" i="1" s="1"/>
  <c r="C244" i="1" l="1"/>
  <c r="C246" i="1" s="1"/>
  <c r="C257" i="1" s="1"/>
  <c r="C258" i="1" s="1"/>
  <c r="C259" i="1" s="1"/>
  <c r="B268" i="1" s="1"/>
  <c r="B232" i="1"/>
  <c r="B11" i="3"/>
  <c r="B13" i="2"/>
  <c r="B31" i="2" s="1"/>
  <c r="C31" i="2" s="1"/>
  <c r="D197" i="1"/>
  <c r="B208" i="1"/>
  <c r="B198" i="1"/>
  <c r="D188" i="1"/>
  <c r="B90" i="2"/>
  <c r="B76" i="2"/>
  <c r="B32" i="3"/>
  <c r="B7" i="3"/>
  <c r="B9" i="2"/>
  <c r="B27" i="2" s="1"/>
  <c r="C27" i="2" s="1"/>
  <c r="D116" i="1"/>
  <c r="E116" i="1"/>
  <c r="D126" i="1"/>
  <c r="B152" i="1" s="1"/>
  <c r="D127" i="1"/>
  <c r="B153" i="1" s="1"/>
  <c r="B115" i="1"/>
  <c r="B124" i="1" s="1"/>
  <c r="D128" i="1"/>
  <c r="B154" i="1" s="1"/>
  <c r="D232" i="1" l="1"/>
  <c r="D243" i="1"/>
  <c r="C233" i="1"/>
  <c r="C234" i="1" s="1"/>
  <c r="D198" i="1"/>
  <c r="B10" i="2"/>
  <c r="B28" i="2" s="1"/>
  <c r="C28" i="2" s="1"/>
  <c r="B8" i="3"/>
  <c r="B12" i="2"/>
  <c r="B30" i="2" s="1"/>
  <c r="C30" i="2" s="1"/>
  <c r="B10" i="3"/>
  <c r="B9" i="3"/>
  <c r="B11" i="2"/>
  <c r="B29" i="2" s="1"/>
  <c r="C29" i="2" s="1"/>
  <c r="C76" i="2"/>
  <c r="C90" i="2"/>
  <c r="E90" i="2" s="1"/>
  <c r="D90" i="2"/>
  <c r="D208" i="1"/>
  <c r="B209" i="1"/>
  <c r="D268" i="1"/>
  <c r="B294" i="1" s="1"/>
  <c r="B270" i="1"/>
  <c r="D270" i="1" s="1"/>
  <c r="D124" i="1"/>
  <c r="B150" i="1" s="1"/>
  <c r="B116" i="1"/>
  <c r="D244" i="1" l="1"/>
  <c r="D246" i="1" s="1"/>
  <c r="D257" i="1" s="1"/>
  <c r="D258" i="1" s="1"/>
  <c r="D259" i="1" s="1"/>
  <c r="B269" i="1" s="1"/>
  <c r="D269" i="1" s="1"/>
  <c r="B295" i="1" s="1"/>
  <c r="B233" i="1"/>
  <c r="D209" i="1"/>
  <c r="B91" i="2"/>
  <c r="C91" i="2" s="1"/>
  <c r="B77" i="2"/>
  <c r="B33" i="3"/>
  <c r="E91" i="2"/>
  <c r="C77" i="2"/>
  <c r="B8" i="2"/>
  <c r="B6" i="3"/>
  <c r="B19" i="3" l="1"/>
  <c r="B18" i="3"/>
  <c r="C18" i="3" s="1"/>
  <c r="D91" i="2"/>
  <c r="D233" i="1"/>
  <c r="B234" i="1"/>
  <c r="D234" i="1" s="1"/>
  <c r="B78" i="2"/>
  <c r="B34" i="3"/>
  <c r="B42" i="3" s="1"/>
  <c r="C42" i="3" s="1"/>
  <c r="B92" i="2"/>
  <c r="C92" i="2" s="1"/>
  <c r="C78" i="2"/>
  <c r="D92" i="2"/>
  <c r="B116" i="2"/>
  <c r="B43" i="3"/>
  <c r="C43" i="3" s="1"/>
  <c r="B21" i="3"/>
  <c r="C21" i="3" s="1"/>
  <c r="B20" i="3"/>
  <c r="C20" i="3" s="1"/>
  <c r="C19" i="3"/>
  <c r="C8" i="2"/>
  <c r="C9" i="2" s="1"/>
  <c r="C10" i="2" s="1"/>
  <c r="C11" i="2" s="1"/>
  <c r="C12" i="2" s="1"/>
  <c r="C13" i="2" s="1"/>
  <c r="B58" i="2"/>
  <c r="B26" i="2"/>
  <c r="B41" i="3" l="1"/>
  <c r="C41" i="3" s="1"/>
  <c r="E92" i="2"/>
  <c r="C26" i="2"/>
  <c r="E26" i="2" s="1"/>
  <c r="E27" i="2" s="1"/>
  <c r="E28" i="2" s="1"/>
  <c r="E29" i="2" s="1"/>
  <c r="E30" i="2" s="1"/>
  <c r="E31" i="2" s="1"/>
  <c r="D26" i="2"/>
  <c r="D27" i="2" s="1"/>
  <c r="D28" i="2" s="1"/>
  <c r="D29" i="2" s="1"/>
  <c r="D30" i="2" s="1"/>
  <c r="D31" i="2" s="1"/>
  <c r="B99" i="2" l="1"/>
  <c r="B103" i="2" s="1"/>
  <c r="B107" i="2"/>
  <c r="B110" i="2" s="1"/>
  <c r="B41" i="2"/>
  <c r="B49" i="2" s="1"/>
  <c r="B52" i="2" s="1"/>
  <c r="B45" i="2"/>
</calcChain>
</file>

<file path=xl/sharedStrings.xml><?xml version="1.0" encoding="utf-8"?>
<sst xmlns="http://schemas.openxmlformats.org/spreadsheetml/2006/main" count="354" uniqueCount="212">
  <si>
    <t>Operating cashflow</t>
  </si>
  <si>
    <t>14500000-(14500000*43%_</t>
  </si>
  <si>
    <t>+</t>
  </si>
  <si>
    <t>Cost of building:</t>
  </si>
  <si>
    <t>0 (R&amp;d sunk cost)</t>
  </si>
  <si>
    <t>Revenue</t>
  </si>
  <si>
    <t>Year</t>
  </si>
  <si>
    <t>Total revenue per pair</t>
  </si>
  <si>
    <t>Total revenue</t>
  </si>
  <si>
    <t>Net revenue per pair</t>
  </si>
  <si>
    <t>Net revenue</t>
  </si>
  <si>
    <t>Lost sales</t>
  </si>
  <si>
    <t>Total</t>
  </si>
  <si>
    <t>Varible cost:</t>
  </si>
  <si>
    <t>adjusted Revenue</t>
  </si>
  <si>
    <t>percentage</t>
  </si>
  <si>
    <t>Variable cost</t>
  </si>
  <si>
    <t>Fixed cost:</t>
  </si>
  <si>
    <t>other advertising and promotion cost</t>
  </si>
  <si>
    <t>Total Fixed cost</t>
  </si>
  <si>
    <t>Depreciation:</t>
  </si>
  <si>
    <t>Purchase price</t>
  </si>
  <si>
    <t>Accumulated</t>
  </si>
  <si>
    <t>Depreciation Rate %</t>
  </si>
  <si>
    <t>Depreciation</t>
  </si>
  <si>
    <t>Earning Before Interest and Tax (EBIT)</t>
  </si>
  <si>
    <t>Total Cost</t>
  </si>
  <si>
    <t>Total Cost = Total Variable Cost + Total Fixed Cost</t>
  </si>
  <si>
    <t>Fixed cost</t>
  </si>
  <si>
    <t>Adjusted Revenue</t>
  </si>
  <si>
    <t>EBIT</t>
  </si>
  <si>
    <t>Net Income</t>
  </si>
  <si>
    <t>Net Income = EBIT - Tax</t>
  </si>
  <si>
    <t>Tax= EBIT x Tax Rate</t>
  </si>
  <si>
    <t>Tax</t>
  </si>
  <si>
    <t>Operating Cash flow</t>
  </si>
  <si>
    <t>Terminal cashflow:</t>
  </si>
  <si>
    <t xml:space="preserve">Bookvalue of buildng/factory=purchise price - accumulated depreciation </t>
  </si>
  <si>
    <t>capital gain or loss on sale of building/factory=proceeds from sales -bookvalue</t>
  </si>
  <si>
    <t>Tax Rate = 21%</t>
  </si>
  <si>
    <t>Tax Rebate on Sale of building/factory = Capital loss x Tax Rate</t>
  </si>
  <si>
    <t>Terminal cashflow = proceeds from sale + Tax Rebate + Change in networking capital</t>
  </si>
  <si>
    <t xml:space="preserve">Cahflows </t>
  </si>
  <si>
    <t>Cashflow</t>
  </si>
  <si>
    <t>revune per pair of shoes sold = $198</t>
  </si>
  <si>
    <t>Net revenue per pair of shoes= $114</t>
  </si>
  <si>
    <t>Total revenue =pairs sold x total revenue per pair</t>
  </si>
  <si>
    <t>Net revenue = pairs sold x net revenue per pair</t>
  </si>
  <si>
    <t>Change in networking Capital = $0</t>
  </si>
  <si>
    <t>Terminal cashflow = $125,000,000 + $6,780,900 + 0 = $131,780,900</t>
  </si>
  <si>
    <t>($-210,000,000)</t>
  </si>
  <si>
    <t>Bookvalue of building/factory=$210,000,000 - $52,710,000 =$157,290,000</t>
  </si>
  <si>
    <t>Accumulated depreciation for factory =$52,710,000</t>
  </si>
  <si>
    <t>Proceeds from sale of building/factory=$125,000,000</t>
  </si>
  <si>
    <t>capital gain or loss on sale of building/factory=$125,000,000 -$157,290,000= -$32,290,000 (loss)</t>
  </si>
  <si>
    <t>Tax Rebate on Sale of building/factory =$32,290,000 x 21% = $6,780,900</t>
  </si>
  <si>
    <t>Pairs sold</t>
  </si>
  <si>
    <t>Initial investment</t>
  </si>
  <si>
    <t>Net adjusted revenue = net revenue - lost sales</t>
  </si>
  <si>
    <t>Net Working Capital:</t>
  </si>
  <si>
    <t>0 interest</t>
  </si>
  <si>
    <t>Depreciation = perchase price x depreciation rate</t>
  </si>
  <si>
    <t>Athlete Endorsment</t>
  </si>
  <si>
    <t>Selling, general and other administrative expenses</t>
  </si>
  <si>
    <t>Beyondfeel Running Shoes 2026</t>
  </si>
  <si>
    <t>Project 1:</t>
  </si>
  <si>
    <t>EBIT = Adjusted Revenue - (Total Cost + Depreciation)</t>
  </si>
  <si>
    <t>Project 2:</t>
  </si>
  <si>
    <t>Trail &amp; Travel 2026</t>
  </si>
  <si>
    <t>Initial investment:</t>
  </si>
  <si>
    <t>Equipment Purchase = $12,000,000</t>
  </si>
  <si>
    <t>Design Technology and Manufacturing = $60,000,000</t>
  </si>
  <si>
    <t>Change in Net Working Capital = Change in Current Assets - Change in Current Liabilities</t>
  </si>
  <si>
    <t>Increase in Current Assets (Inventory and Accounts Receivable) = $30,000,000</t>
  </si>
  <si>
    <t>Increase in Current Liabilities (Accounts Payable) = $12,000,000</t>
  </si>
  <si>
    <t>Change in Net Working Capital = $30,000,000 - $12,000,000 = $18,000,000</t>
  </si>
  <si>
    <t>Initial Investment = Cost of new Asset + Change in Networking Capital</t>
  </si>
  <si>
    <t>Initial Investment = ($12,000,000 + $60,000,000) +  $18,000,000 = $90,000,000</t>
  </si>
  <si>
    <t>Operating Cashflow:</t>
  </si>
  <si>
    <t>Revenue:</t>
  </si>
  <si>
    <t>Market Revenue growth rate =</t>
  </si>
  <si>
    <t>Firm Revenue = Market Revenue x Firm's Market Share</t>
  </si>
  <si>
    <t>Market Revenue</t>
  </si>
  <si>
    <t>Variable cost:</t>
  </si>
  <si>
    <t>Variable Costs = 40% of Revenue 45% of Revenue</t>
  </si>
  <si>
    <t>Variable Cost %</t>
  </si>
  <si>
    <t>Variable costs</t>
  </si>
  <si>
    <t>Fixed Costs:</t>
  </si>
  <si>
    <t>General and Administrative Expenses = Revenue x Percentage</t>
  </si>
  <si>
    <t>General and Administrative Expenses</t>
  </si>
  <si>
    <t>Advertising and Promotion Costs</t>
  </si>
  <si>
    <t>Total Fixed Costs</t>
  </si>
  <si>
    <t>12%-9%=3%=1.5% annual drop</t>
  </si>
  <si>
    <t>annual General and Administrative rate drop =rate in first year - rate in last year ÷ 2</t>
  </si>
  <si>
    <t>Depreciation :</t>
  </si>
  <si>
    <t>Purchase Price of Manufacturing Equipment =</t>
  </si>
  <si>
    <t>Depreciation=purchase price X Depreciation Rate</t>
  </si>
  <si>
    <t>Depreciation Rate (%)</t>
  </si>
  <si>
    <t>EBIT:</t>
  </si>
  <si>
    <t>EBIT = Revenue - Variable Costs - Fixed Costs - Depreciation</t>
  </si>
  <si>
    <t>Fixed Cost</t>
  </si>
  <si>
    <t>Net Income:</t>
  </si>
  <si>
    <t>Tax rate= 21%</t>
  </si>
  <si>
    <t>Operating cash Flow:</t>
  </si>
  <si>
    <t>Cash Flow</t>
  </si>
  <si>
    <t>Terminal Cash Flow</t>
  </si>
  <si>
    <t>Purchase Price of Manufacturing Equipment = $12 million</t>
  </si>
  <si>
    <t>Accumulated Depreciation on Manufacturing Equipment = $ 8.52million</t>
  </si>
  <si>
    <t>Book Value of Manufacturing Equipment = Purchase Price - Accumulated Depreciation</t>
  </si>
  <si>
    <t>Proceeds from Sale of Manufacturing Equipment = Book Value = $3.48 million</t>
  </si>
  <si>
    <t>Capital Gain/Loss on Sale of Manufacturing Equipment = Proceeds from Sale - Book Value</t>
  </si>
  <si>
    <t>No gain or loss</t>
  </si>
  <si>
    <t>Tax=$0 because there is no gain</t>
  </si>
  <si>
    <t>$3480000-$3480000=0</t>
  </si>
  <si>
    <t>$12000000-$8520000=</t>
  </si>
  <si>
    <t>Change in networking capital = $18000000</t>
  </si>
  <si>
    <t>Terminal Cash Flow = Proceeds from Sale of Manufacturing Equipment + Change in Net Working Capital=$21480000</t>
  </si>
  <si>
    <t>$3480000+$18000000</t>
  </si>
  <si>
    <t>Cash Flow:</t>
  </si>
  <si>
    <t>Last year cash Flow = cash flow of last year + terminal cashflow</t>
  </si>
  <si>
    <t>Operating Cash Flow = Net Income + Depreciation</t>
  </si>
  <si>
    <t>Market Share(%)</t>
  </si>
  <si>
    <t>2026 market revnue =</t>
  </si>
  <si>
    <t>Running Shoes 2026</t>
  </si>
  <si>
    <t>Accumulated Cashflow</t>
  </si>
  <si>
    <t>The discounted payback:</t>
  </si>
  <si>
    <t>Undiscounted</t>
  </si>
  <si>
    <t>Discounted</t>
  </si>
  <si>
    <t>Accumulated Cash Flow</t>
  </si>
  <si>
    <t>Discounted Payback period=</t>
  </si>
  <si>
    <t>Discounted payback=</t>
  </si>
  <si>
    <t xml:space="preserve">undiscounted cash flow* (1-discount rate)^number of years </t>
  </si>
  <si>
    <t>Net Present Value (NPV):</t>
  </si>
  <si>
    <t>Accumulated cashflows =</t>
  </si>
  <si>
    <t>initial investment=</t>
  </si>
  <si>
    <t>NPV = Present value of Accumulated cashflows - initial investment=</t>
  </si>
  <si>
    <t xml:space="preserve">NPV = </t>
  </si>
  <si>
    <t xml:space="preserve">Postive NPV </t>
  </si>
  <si>
    <t>Profitibility Index:</t>
  </si>
  <si>
    <t>Profitibility index= Present value of cash flows/ Initial investment</t>
  </si>
  <si>
    <t>Payback Period Method:</t>
  </si>
  <si>
    <t>Trail &amp; Tavel 2026</t>
  </si>
  <si>
    <t>Profitability Index =</t>
  </si>
  <si>
    <t>Discount Rate=</t>
  </si>
  <si>
    <t>Internal Rate Of Return (IRR):</t>
  </si>
  <si>
    <t xml:space="preserve">Terminal Cashflow = </t>
  </si>
  <si>
    <t>Operating Cashflow + Terminal Cashflow</t>
  </si>
  <si>
    <t>275,254,943.98/210,000,000</t>
  </si>
  <si>
    <t>Initial investment=</t>
  </si>
  <si>
    <t>NPV (0) = -Initial Investment + Present Value of Cashflows /(1+IRR)^n</t>
  </si>
  <si>
    <t xml:space="preserve">IRR = </t>
  </si>
  <si>
    <t xml:space="preserve">negative NPV </t>
  </si>
  <si>
    <t>Discount Rate</t>
  </si>
  <si>
    <t>PV of Cash Flows</t>
  </si>
  <si>
    <t>NPV</t>
  </si>
  <si>
    <t>Given rate</t>
  </si>
  <si>
    <t>WEIGHTED AVERAGE COST OF CAPITAL</t>
  </si>
  <si>
    <t>OVERALL COMPANY WACC:</t>
  </si>
  <si>
    <t>WACC = E/V x Re + D/V x Rd x (1-Tc)</t>
  </si>
  <si>
    <t>Firm Value V = Total Equity E + Total Debt D</t>
  </si>
  <si>
    <t>Total Equity E =</t>
  </si>
  <si>
    <t xml:space="preserve">Total Debt D = </t>
  </si>
  <si>
    <t>Cost of Equity Re (CAPM) = Rf + Be x (Rm - Rf)</t>
  </si>
  <si>
    <t>Cost of Debt Rd = Interst expense/ Total Debt</t>
  </si>
  <si>
    <t xml:space="preserve">Equity weight (E/V) = </t>
  </si>
  <si>
    <t xml:space="preserve">Debt weight (D/V) = </t>
  </si>
  <si>
    <t>Risk Free (Rf) =</t>
  </si>
  <si>
    <t xml:space="preserve">Beta (Be) = </t>
  </si>
  <si>
    <t>Market Risk Premium (Rm - Rf) =</t>
  </si>
  <si>
    <t xml:space="preserve">Interest expense = </t>
  </si>
  <si>
    <t xml:space="preserve">Total Debt = </t>
  </si>
  <si>
    <t xml:space="preserve">Effective Tax Rate = </t>
  </si>
  <si>
    <t>Project 1 WACC:</t>
  </si>
  <si>
    <t>Firm Value (Initial investment) V = Total Equity E + Total Debt D</t>
  </si>
  <si>
    <t>Project 2 WACC:</t>
  </si>
  <si>
    <t xml:space="preserve">Initial Investment = </t>
  </si>
  <si>
    <t xml:space="preserve">Total initial investment=  </t>
  </si>
  <si>
    <t>variable cost = adjusted revenue x percentage</t>
  </si>
  <si>
    <t>Varible cost = 43% of net revenue</t>
  </si>
  <si>
    <t>operating cashflow = net income + depreciation</t>
  </si>
  <si>
    <t>Market Revenue = Revenue x Growth Rate</t>
  </si>
  <si>
    <t>385000000 x (1+14%)=</t>
  </si>
  <si>
    <t>Net Income =EBIT-Tax</t>
  </si>
  <si>
    <t>Tax=EBIT x Tax rate</t>
  </si>
  <si>
    <t>Total Cost = Variable cost + Fixed Cost</t>
  </si>
  <si>
    <t>Total Fixed Cost</t>
  </si>
  <si>
    <t>Total Variable Cost</t>
  </si>
  <si>
    <t xml:space="preserve">89,990,070.40- $90,000,000 </t>
  </si>
  <si>
    <t>Payback period =(90,000,000-51,959,910.40/65,585,694.69 +2 years=</t>
  </si>
  <si>
    <t>Payback period =2.58 years</t>
  </si>
  <si>
    <t>(90,000,000-43,307,468.38)/46,682,602.02 + 2 years</t>
  </si>
  <si>
    <t>3 years</t>
  </si>
  <si>
    <t>89,990,070.40/210000000</t>
  </si>
  <si>
    <t>Payback period =(210,000,000-156,662,374/110,366,970 +3 years=</t>
  </si>
  <si>
    <t>Payback period =3.48 years</t>
  </si>
  <si>
    <t>(210,000,000-200,401,126.51)/53,396,104.34 + 4 years</t>
  </si>
  <si>
    <t>4.18 Years</t>
  </si>
  <si>
    <t xml:space="preserve">349,347,228.85- $210,000,000 </t>
  </si>
  <si>
    <t>Project 1: Beyonfeel Running Shoes 2026</t>
  </si>
  <si>
    <t xml:space="preserve">Year </t>
  </si>
  <si>
    <t>CashFlows</t>
  </si>
  <si>
    <t>Discounted CashFlows</t>
  </si>
  <si>
    <t>Number of Years (n) =</t>
  </si>
  <si>
    <t xml:space="preserve">Discount Rate = </t>
  </si>
  <si>
    <t>ANPV = NPV/PVIFA</t>
  </si>
  <si>
    <t>139,347,228.85/4.355</t>
  </si>
  <si>
    <t xml:space="preserve">ANPV = </t>
  </si>
  <si>
    <t xml:space="preserve">PVIFA = </t>
  </si>
  <si>
    <t>-9,929.60/2.402</t>
  </si>
  <si>
    <t>Project 2: Trail &amp; Travel</t>
  </si>
  <si>
    <t>WACC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</si>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</sst>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$&quot;#,##0.00"/>
    <numFmt numFmtId="166" formatCode="[$$-409]#,##0.00"/>
    <numFmt numFmtId="167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2" xfId="0" applyBorder="1"/>
    <xf numFmtId="44" fontId="0" fillId="0" borderId="3" xfId="0" applyNumberFormat="1" applyBorder="1"/>
    <xf numFmtId="0" fontId="0" fillId="0" borderId="4" xfId="0" applyBorder="1"/>
    <xf numFmtId="44" fontId="0" fillId="0" borderId="0" xfId="0" applyNumberFormat="1"/>
    <xf numFmtId="44" fontId="0" fillId="0" borderId="6" xfId="0" applyNumberFormat="1" applyBorder="1"/>
    <xf numFmtId="44" fontId="0" fillId="0" borderId="1" xfId="0" applyNumberFormat="1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4" xfId="1" applyFont="1" applyBorder="1"/>
    <xf numFmtId="0" fontId="0" fillId="0" borderId="0" xfId="0" applyAlignment="1">
      <alignment wrapText="1"/>
    </xf>
    <xf numFmtId="6" fontId="0" fillId="0" borderId="0" xfId="0" applyNumberFormat="1"/>
    <xf numFmtId="0" fontId="0" fillId="0" borderId="1" xfId="0" applyBorder="1"/>
    <xf numFmtId="0" fontId="0" fillId="0" borderId="3" xfId="0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0" fillId="0" borderId="7" xfId="0" applyNumberFormat="1" applyBorder="1"/>
    <xf numFmtId="44" fontId="0" fillId="0" borderId="8" xfId="0" applyNumberFormat="1" applyBorder="1"/>
    <xf numFmtId="44" fontId="0" fillId="0" borderId="7" xfId="1" applyFont="1" applyBorder="1"/>
    <xf numFmtId="44" fontId="0" fillId="0" borderId="8" xfId="1" applyFont="1" applyBorder="1"/>
    <xf numFmtId="44" fontId="0" fillId="0" borderId="1" xfId="1" applyFont="1" applyBorder="1"/>
    <xf numFmtId="44" fontId="0" fillId="0" borderId="9" xfId="1" applyFon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" xfId="0" applyNumberFormat="1" applyBorder="1"/>
    <xf numFmtId="0" fontId="0" fillId="0" borderId="10" xfId="0" applyBorder="1"/>
    <xf numFmtId="0" fontId="0" fillId="0" borderId="6" xfId="0" applyBorder="1"/>
    <xf numFmtId="44" fontId="0" fillId="0" borderId="6" xfId="1" applyFont="1" applyBorder="1"/>
    <xf numFmtId="44" fontId="0" fillId="0" borderId="6" xfId="1" applyFont="1" applyFill="1" applyBorder="1"/>
    <xf numFmtId="10" fontId="0" fillId="0" borderId="6" xfId="0" applyNumberFormat="1" applyBorder="1"/>
    <xf numFmtId="10" fontId="0" fillId="0" borderId="1" xfId="0" applyNumberFormat="1" applyBorder="1"/>
    <xf numFmtId="44" fontId="0" fillId="0" borderId="10" xfId="1" applyFont="1" applyBorder="1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0" xfId="0" applyNumberFormat="1"/>
    <xf numFmtId="165" fontId="0" fillId="0" borderId="4" xfId="0" applyNumberFormat="1" applyBorder="1"/>
    <xf numFmtId="165" fontId="0" fillId="0" borderId="5" xfId="0" applyNumberFormat="1" applyBorder="1"/>
    <xf numFmtId="9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6" fontId="0" fillId="0" borderId="0" xfId="0" applyNumberFormat="1"/>
    <xf numFmtId="0" fontId="0" fillId="0" borderId="14" xfId="0" applyBorder="1"/>
    <xf numFmtId="164" fontId="0" fillId="0" borderId="6" xfId="0" applyNumberFormat="1" applyBorder="1"/>
    <xf numFmtId="164" fontId="0" fillId="0" borderId="10" xfId="0" applyNumberFormat="1" applyBorder="1"/>
    <xf numFmtId="166" fontId="0" fillId="0" borderId="11" xfId="0" applyNumberFormat="1" applyBorder="1"/>
    <xf numFmtId="166" fontId="0" fillId="0" borderId="6" xfId="0" applyNumberFormat="1" applyBorder="1"/>
    <xf numFmtId="166" fontId="0" fillId="0" borderId="12" xfId="0" applyNumberFormat="1" applyBorder="1"/>
    <xf numFmtId="166" fontId="0" fillId="0" borderId="10" xfId="0" applyNumberFormat="1" applyBorder="1"/>
    <xf numFmtId="166" fontId="0" fillId="0" borderId="13" xfId="0" applyNumberForma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 applyAlignment="1">
      <alignment horizontal="left" wrapText="1"/>
    </xf>
    <xf numFmtId="0" fontId="9" fillId="0" borderId="0" xfId="0" applyFont="1"/>
    <xf numFmtId="6" fontId="0" fillId="0" borderId="0" xfId="0" applyNumberFormat="1" applyAlignment="1">
      <alignment horizontal="left"/>
    </xf>
    <xf numFmtId="2" fontId="0" fillId="0" borderId="0" xfId="0" applyNumberFormat="1"/>
    <xf numFmtId="164" fontId="5" fillId="0" borderId="6" xfId="0" applyNumberFormat="1" applyFont="1" applyBorder="1"/>
    <xf numFmtId="164" fontId="5" fillId="0" borderId="0" xfId="0" applyNumberFormat="1" applyFont="1"/>
    <xf numFmtId="10" fontId="0" fillId="0" borderId="0" xfId="0" applyNumberFormat="1"/>
    <xf numFmtId="165" fontId="0" fillId="0" borderId="6" xfId="0" applyNumberFormat="1" applyBorder="1"/>
    <xf numFmtId="165" fontId="0" fillId="0" borderId="10" xfId="0" applyNumberForma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5" fontId="0" fillId="0" borderId="1" xfId="0" applyNumberFormat="1" applyBorder="1"/>
    <xf numFmtId="165" fontId="0" fillId="0" borderId="3" xfId="0" applyNumberFormat="1" applyBorder="1"/>
    <xf numFmtId="6" fontId="0" fillId="0" borderId="6" xfId="0" applyNumberFormat="1" applyBorder="1"/>
    <xf numFmtId="44" fontId="0" fillId="0" borderId="4" xfId="0" quotePrefix="1" applyNumberForma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1" xfId="0" applyNumberFormat="1" applyBorder="1"/>
    <xf numFmtId="0" fontId="5" fillId="0" borderId="0" xfId="0" applyFont="1"/>
    <xf numFmtId="8" fontId="0" fillId="0" borderId="0" xfId="0" applyNumberFormat="1"/>
    <xf numFmtId="8" fontId="0" fillId="0" borderId="4" xfId="0" applyNumberFormat="1" applyBorder="1"/>
    <xf numFmtId="6" fontId="0" fillId="0" borderId="4" xfId="0" applyNumberFormat="1" applyBorder="1"/>
    <xf numFmtId="0" fontId="0" fillId="0" borderId="18" xfId="0" applyBorder="1"/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9" fontId="0" fillId="0" borderId="22" xfId="0" applyNumberFormat="1" applyBorder="1"/>
    <xf numFmtId="8" fontId="0" fillId="0" borderId="23" xfId="0" applyNumberFormat="1" applyBorder="1"/>
    <xf numFmtId="8" fontId="0" fillId="0" borderId="18" xfId="0" applyNumberFormat="1" applyBorder="1"/>
    <xf numFmtId="9" fontId="0" fillId="0" borderId="24" xfId="0" applyNumberFormat="1" applyBorder="1"/>
    <xf numFmtId="8" fontId="0" fillId="0" borderId="25" xfId="0" applyNumberFormat="1" applyBorder="1"/>
    <xf numFmtId="0" fontId="10" fillId="0" borderId="0" xfId="0" applyFont="1" applyAlignment="1">
      <alignment wrapText="1"/>
    </xf>
    <xf numFmtId="3" fontId="0" fillId="0" borderId="0" xfId="0" applyNumberFormat="1"/>
    <xf numFmtId="167" fontId="0" fillId="0" borderId="0" xfId="0" applyNumberFormat="1"/>
    <xf numFmtId="10" fontId="0" fillId="3" borderId="0" xfId="0" applyNumberFormat="1" applyFill="1"/>
    <xf numFmtId="0" fontId="0" fillId="3" borderId="0" xfId="0" applyFill="1"/>
    <xf numFmtId="0" fontId="9" fillId="0" borderId="0" xfId="0" applyFont="1" applyAlignment="1">
      <alignment horizontal="center" wrapText="1"/>
    </xf>
    <xf numFmtId="10" fontId="0" fillId="3" borderId="0" xfId="3" applyNumberFormat="1" applyFont="1" applyFill="1"/>
    <xf numFmtId="165" fontId="0" fillId="0" borderId="0" xfId="1" applyNumberFormat="1" applyFont="1"/>
    <xf numFmtId="165" fontId="0" fillId="0" borderId="0" xfId="2" applyNumberFormat="1" applyFont="1"/>
    <xf numFmtId="9" fontId="0" fillId="0" borderId="1" xfId="0" applyNumberFormat="1" applyBorder="1"/>
    <xf numFmtId="165" fontId="0" fillId="0" borderId="14" xfId="0" applyNumberFormat="1" applyBorder="1"/>
    <xf numFmtId="0" fontId="10" fillId="0" borderId="0" xfId="0" applyFont="1" applyAlignment="1">
      <alignment vertical="top" wrapText="1"/>
    </xf>
    <xf numFmtId="165" fontId="0" fillId="0" borderId="13" xfId="0" applyNumberFormat="1" applyBorder="1"/>
    <xf numFmtId="0" fontId="0" fillId="0" borderId="0" xfId="0" quotePrefix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4" xfId="0" applyNumberFormat="1" applyBorder="1" applyAlignment="1">
      <alignment horizontal="center"/>
    </xf>
    <xf numFmtId="10" fontId="0" fillId="0" borderId="11" xfId="0" applyNumberFormat="1" applyBorder="1" applyAlignment="1">
      <alignment horizontal="right" indent="1"/>
    </xf>
    <xf numFmtId="8" fontId="0" fillId="0" borderId="23" xfId="0" applyNumberFormat="1" applyBorder="1" applyAlignment="1">
      <alignment horizontal="center"/>
    </xf>
    <xf numFmtId="9" fontId="0" fillId="0" borderId="12" xfId="0" applyNumberFormat="1" applyBorder="1"/>
    <xf numFmtId="8" fontId="0" fillId="0" borderId="13" xfId="0" applyNumberFormat="1" applyBorder="1"/>
    <xf numFmtId="8" fontId="0" fillId="0" borderId="5" xfId="0" applyNumberFormat="1" applyBorder="1"/>
    <xf numFmtId="10" fontId="0" fillId="0" borderId="22" xfId="0" applyNumberFormat="1" applyBorder="1" applyAlignment="1">
      <alignment horizontal="righ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'sensitivity analysis'!$C$17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analysis'!$A$19:$A$21</c:f>
              <c:numCache>
                <c:formatCode>0%</c:formatCode>
                <c:ptCount val="3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</c:numCache>
            </c:numRef>
          </c:cat>
          <c:val>
            <c:numRef>
              <c:f>'sensitivity analysis'!$C$19:$C$21</c:f>
              <c:numCache>
                <c:formatCode>"$"#,##0.00_);[Red]\("$"#,##0.00\)</c:formatCode>
                <c:ptCount val="3"/>
                <c:pt idx="0">
                  <c:v>139347228.85031891</c:v>
                </c:pt>
                <c:pt idx="1">
                  <c:v>126633563.72705805</c:v>
                </c:pt>
                <c:pt idx="2">
                  <c:v>114553484.80013037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84-44FF-8D17-18B443A7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254720"/>
        <c:axId val="762255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'sensitivity analysis'!$A$17</c15:sqref>
                        </c15:formulaRef>
                      </c:ext>
                    </c:extLst>
                    <c:strCache>
                      <c:ptCount val="1"/>
                      <c:pt idx="0">
                        <c:v>Discount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'sensitivity analysis'!$A$19:$A$21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0.1</c:v>
                      </c:pt>
                      <c:pt idx="1">
                        <c:v>0.11</c:v>
                      </c:pt>
                      <c:pt idx="2">
                        <c:v>0.12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'sensitivity analysis'!$A$19:$A$21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0.1</c:v>
                      </c:pt>
                      <c:pt idx="1">
                        <c:v>0.11</c:v>
                      </c:pt>
                      <c:pt idx="2">
                        <c:v>0.12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4984-44FF-8D17-18B443A789EF}"/>
                  </c:ext>
                </c:extLst>
              </c15:ser>
            </c15:filteredLineSeries>
          </c:ext>
        </c:extLst>
      </c:lineChart>
      <c:catAx>
        <c:axId val="7622547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55200"/>
        <c:crosses val="autoZero"/>
        <c:auto val="1"/>
        <c:lblAlgn val="ctr"/>
        <c:lblOffset val="100"/>
        <c:noMultiLvlLbl val="0"/>
      </c:catAx>
      <c:valAx>
        <c:axId val="7622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547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'sensitivity analysis'!$C$39</c:f>
              <c:strCache>
                <c:ptCount val="1"/>
                <c:pt idx="0">
                  <c:v>NPV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 analysis'!$A$41:$A$43</c:f>
              <c:numCache>
                <c:formatCode>0%</c:formatCode>
                <c:ptCount val="3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</c:numCache>
            </c:numRef>
          </c:cat>
          <c:val>
            <c:numRef>
              <c:f>'sensitivity analysis'!$C$41:$C$43</c:f>
              <c:numCache>
                <c:formatCode>"$"#,##0.00_);[Red]\("$"#,##0.00\)</c:formatCode>
                <c:ptCount val="3"/>
                <c:pt idx="0">
                  <c:v>3846350.541562736</c:v>
                </c:pt>
                <c:pt idx="1">
                  <c:v>1887036.9885883033</c:v>
                </c:pt>
                <c:pt idx="2">
                  <c:v>-9929.6002641916275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F7-41AC-A1E8-C858F4533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109824"/>
        <c:axId val="1311110304"/>
      </c:lineChart>
      <c:catAx>
        <c:axId val="13111098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10304"/>
        <c:crosses val="autoZero"/>
        <c:auto val="1"/>
        <c:lblAlgn val="ctr"/>
        <c:lblOffset val="100"/>
        <c:noMultiLvlLbl val="0"/>
      </c:catAx>
      <c:valAx>
        <c:axId val="131111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0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342034</xdr:colOff>
      <xdr:row>3</xdr:row>
      <xdr:rowOff>100446</xdr:rowOff>
    </xdr:from>
    <xdr:to>
      <xdr:col>13</xdr:col>
      <xdr:colOff>64943</xdr:colOff>
      <xdr:row>21</xdr:row>
      <xdr:rowOff>142010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3F5AD-615B-9D2F-CCBE-760E96572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601807</xdr:colOff>
      <xdr:row>29</xdr:row>
      <xdr:rowOff>83127</xdr:rowOff>
    </xdr:from>
    <xdr:to>
      <xdr:col>12</xdr:col>
      <xdr:colOff>324716</xdr:colOff>
      <xdr:row>45</xdr:row>
      <xdr:rowOff>124691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0B0734-E4D6-D222-83EF-2D075CED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99D2-5CEA-4543-91FE-C53E5C2DA13B}">
  <dimension ref="A2:K295"/>
  <sheetViews>
    <sheetView topLeftCell="A282" zoomScale="89" zoomScaleNormal="135" workbookViewId="0">
      <selection activeCell="C282" sqref="C282"/>
    </sheetView>
  </sheetViews>
  <sheetFormatPr defaultColWidth="8.85546875" defaultRowHeight="15" x14ac:dyDescent="0.25"/>
  <cols>
    <col min="1" max="1" width="49.140625" customWidth="1"/>
    <col min="2" max="2" width="47.140625" bestFit="1" customWidth="1"/>
    <col min="3" max="3" width="36.42578125" bestFit="1" customWidth="1"/>
    <col min="4" max="4" width="34.42578125" bestFit="1" customWidth="1"/>
    <col min="5" max="5" width="19.7109375" bestFit="1" customWidth="1"/>
    <col min="6" max="6" width="18" bestFit="1" customWidth="1"/>
    <col min="7" max="7" width="17" bestFit="1" customWidth="1"/>
    <col min="8" max="8" width="18" bestFit="1" customWidth="1"/>
  </cols>
  <sheetData>
    <row r="2" spans="1:11" x14ac:dyDescent="0.25">
      <c r="A2" t="s">
        <v>65</v>
      </c>
    </row>
    <row r="3" spans="1:11" x14ac:dyDescent="0.25">
      <c r="A3" t="s">
        <v>64</v>
      </c>
    </row>
    <row r="6" spans="1:11" x14ac:dyDescent="0.25">
      <c r="A6" t="s">
        <v>57</v>
      </c>
    </row>
    <row r="7" spans="1:11" x14ac:dyDescent="0.25">
      <c r="A7" s="1" t="s">
        <v>3</v>
      </c>
    </row>
    <row r="8" spans="1:11" x14ac:dyDescent="0.25">
      <c r="A8" s="2">
        <v>210000000</v>
      </c>
    </row>
    <row r="9" spans="1:11" x14ac:dyDescent="0.25">
      <c r="A9" t="s">
        <v>2</v>
      </c>
    </row>
    <row r="10" spans="1:11" x14ac:dyDescent="0.25">
      <c r="A10" t="s">
        <v>59</v>
      </c>
      <c r="K10" t="s">
        <v>0</v>
      </c>
    </row>
    <row r="11" spans="1:11" x14ac:dyDescent="0.25">
      <c r="A11">
        <v>0</v>
      </c>
      <c r="K11" t="s">
        <v>1</v>
      </c>
    </row>
    <row r="12" spans="1:11" x14ac:dyDescent="0.25">
      <c r="A12" t="s">
        <v>4</v>
      </c>
    </row>
    <row r="13" spans="1:11" x14ac:dyDescent="0.25">
      <c r="A13" t="s">
        <v>2</v>
      </c>
    </row>
    <row r="14" spans="1:11" x14ac:dyDescent="0.25">
      <c r="A14" t="s">
        <v>60</v>
      </c>
    </row>
    <row r="15" spans="1:11" x14ac:dyDescent="0.25">
      <c r="A15" t="s">
        <v>176</v>
      </c>
      <c r="B15" s="13">
        <v>210000000</v>
      </c>
    </row>
    <row r="20" spans="1:8" x14ac:dyDescent="0.25">
      <c r="A20" t="s">
        <v>0</v>
      </c>
    </row>
    <row r="22" spans="1:8" x14ac:dyDescent="0.25">
      <c r="A22" t="s">
        <v>5</v>
      </c>
    </row>
    <row r="24" spans="1:8" x14ac:dyDescent="0.25">
      <c r="A24" t="s">
        <v>44</v>
      </c>
    </row>
    <row r="25" spans="1:8" x14ac:dyDescent="0.25">
      <c r="A25" t="s">
        <v>45</v>
      </c>
    </row>
    <row r="26" spans="1:8" x14ac:dyDescent="0.25">
      <c r="A26" t="s">
        <v>46</v>
      </c>
    </row>
    <row r="27" spans="1:8" x14ac:dyDescent="0.25">
      <c r="A27" t="s">
        <v>47</v>
      </c>
    </row>
    <row r="28" spans="1:8" x14ac:dyDescent="0.25">
      <c r="A28" t="s">
        <v>58</v>
      </c>
    </row>
    <row r="29" spans="1:8" ht="15.75" thickBot="1" x14ac:dyDescent="0.3"/>
    <row r="30" spans="1:8" ht="15.75" thickBot="1" x14ac:dyDescent="0.3">
      <c r="A30" s="14" t="s">
        <v>6</v>
      </c>
      <c r="B30" s="14" t="s">
        <v>56</v>
      </c>
      <c r="C30" s="14" t="s">
        <v>7</v>
      </c>
      <c r="D30" s="14" t="s">
        <v>8</v>
      </c>
      <c r="E30" s="14" t="s">
        <v>9</v>
      </c>
      <c r="F30" s="14" t="s">
        <v>10</v>
      </c>
      <c r="G30" s="14" t="s">
        <v>11</v>
      </c>
      <c r="H30" s="14" t="s">
        <v>14</v>
      </c>
    </row>
    <row r="31" spans="1:8" x14ac:dyDescent="0.25">
      <c r="A31" s="17">
        <v>2026</v>
      </c>
      <c r="B31" s="26">
        <v>1450000</v>
      </c>
      <c r="C31" s="22">
        <v>198</v>
      </c>
      <c r="D31" s="22">
        <f>B31*C31</f>
        <v>287100000</v>
      </c>
      <c r="E31" s="22">
        <v>114</v>
      </c>
      <c r="F31" s="22">
        <f>B31*E31</f>
        <v>165300000</v>
      </c>
      <c r="G31" s="22">
        <v>22000000</v>
      </c>
      <c r="H31" s="20">
        <f>F31-G31</f>
        <v>143300000</v>
      </c>
    </row>
    <row r="32" spans="1:8" x14ac:dyDescent="0.25">
      <c r="A32" s="18">
        <v>2027</v>
      </c>
      <c r="B32" s="27">
        <v>1920000</v>
      </c>
      <c r="C32" s="23">
        <v>198</v>
      </c>
      <c r="D32" s="23">
        <f t="shared" ref="D32:D36" si="0">B32*C32</f>
        <v>380160000</v>
      </c>
      <c r="E32" s="23">
        <v>114</v>
      </c>
      <c r="F32" s="23">
        <f t="shared" ref="F32:F36" si="1">B32*E32</f>
        <v>218880000</v>
      </c>
      <c r="G32" s="23">
        <v>12000000</v>
      </c>
      <c r="H32" s="21">
        <f>F32-G32</f>
        <v>206880000</v>
      </c>
    </row>
    <row r="33" spans="1:8" x14ac:dyDescent="0.25">
      <c r="A33" s="18">
        <v>2028</v>
      </c>
      <c r="B33" s="27">
        <v>2100000</v>
      </c>
      <c r="C33" s="23">
        <v>198</v>
      </c>
      <c r="D33" s="23">
        <f t="shared" si="0"/>
        <v>415800000</v>
      </c>
      <c r="E33" s="23">
        <v>114</v>
      </c>
      <c r="F33" s="23">
        <f t="shared" si="1"/>
        <v>239400000</v>
      </c>
      <c r="G33" s="18"/>
      <c r="H33" s="21">
        <f t="shared" ref="H33:H36" si="2">F33-G33</f>
        <v>239400000</v>
      </c>
    </row>
    <row r="34" spans="1:8" x14ac:dyDescent="0.25">
      <c r="A34" s="18">
        <v>2029</v>
      </c>
      <c r="B34" s="27">
        <v>2850000</v>
      </c>
      <c r="C34" s="23">
        <v>198</v>
      </c>
      <c r="D34" s="23">
        <f t="shared" si="0"/>
        <v>564300000</v>
      </c>
      <c r="E34" s="23">
        <v>114</v>
      </c>
      <c r="F34" s="23">
        <f t="shared" si="1"/>
        <v>324900000</v>
      </c>
      <c r="G34" s="18"/>
      <c r="H34" s="21">
        <f t="shared" si="2"/>
        <v>324900000</v>
      </c>
    </row>
    <row r="35" spans="1:8" x14ac:dyDescent="0.25">
      <c r="A35" s="18">
        <v>2030</v>
      </c>
      <c r="B35" s="27">
        <v>2300000</v>
      </c>
      <c r="C35" s="23">
        <v>198</v>
      </c>
      <c r="D35" s="23">
        <f t="shared" si="0"/>
        <v>455400000</v>
      </c>
      <c r="E35" s="23">
        <v>114</v>
      </c>
      <c r="F35" s="23">
        <f t="shared" si="1"/>
        <v>262200000</v>
      </c>
      <c r="G35" s="18"/>
      <c r="H35" s="21">
        <f t="shared" si="2"/>
        <v>262200000</v>
      </c>
    </row>
    <row r="36" spans="1:8" ht="15.75" thickBot="1" x14ac:dyDescent="0.3">
      <c r="A36" s="19">
        <v>2031</v>
      </c>
      <c r="B36" s="28">
        <v>1250000</v>
      </c>
      <c r="C36" s="25">
        <v>198</v>
      </c>
      <c r="D36" s="25">
        <f t="shared" si="0"/>
        <v>247500000</v>
      </c>
      <c r="E36" s="25">
        <v>114</v>
      </c>
      <c r="F36" s="25">
        <f t="shared" si="1"/>
        <v>142500000</v>
      </c>
      <c r="G36" s="19"/>
      <c r="H36" s="21">
        <f t="shared" si="2"/>
        <v>142500000</v>
      </c>
    </row>
    <row r="37" spans="1:8" ht="15.75" thickBot="1" x14ac:dyDescent="0.3">
      <c r="A37" s="14" t="s">
        <v>12</v>
      </c>
      <c r="B37" s="29">
        <f>SUM(B31:B36)</f>
        <v>11870000</v>
      </c>
      <c r="C37" s="14"/>
      <c r="D37" s="8">
        <f>SUM(D31:D36)</f>
        <v>2350260000</v>
      </c>
      <c r="E37" s="14"/>
      <c r="F37" s="8">
        <f>SUM(F31:F36)</f>
        <v>1353180000</v>
      </c>
      <c r="G37" s="24">
        <f>SUM(G31:G32)</f>
        <v>34000000</v>
      </c>
      <c r="H37" s="8">
        <f>SUM(H31:H36)</f>
        <v>1319180000</v>
      </c>
    </row>
    <row r="40" spans="1:8" x14ac:dyDescent="0.25">
      <c r="A40" t="s">
        <v>13</v>
      </c>
    </row>
    <row r="42" spans="1:8" x14ac:dyDescent="0.25">
      <c r="A42" t="s">
        <v>177</v>
      </c>
    </row>
    <row r="43" spans="1:8" x14ac:dyDescent="0.25">
      <c r="A43" t="s">
        <v>178</v>
      </c>
    </row>
    <row r="44" spans="1:8" ht="15.75" thickBot="1" x14ac:dyDescent="0.3"/>
    <row r="45" spans="1:8" ht="15.75" thickBot="1" x14ac:dyDescent="0.3">
      <c r="A45" s="3" t="s">
        <v>6</v>
      </c>
      <c r="B45" s="14" t="s">
        <v>10</v>
      </c>
      <c r="C45" s="14" t="s">
        <v>15</v>
      </c>
      <c r="D45" s="14" t="s">
        <v>16</v>
      </c>
    </row>
    <row r="46" spans="1:8" x14ac:dyDescent="0.25">
      <c r="A46">
        <v>2026</v>
      </c>
      <c r="B46" s="7">
        <f>B31*E31</f>
        <v>165300000</v>
      </c>
      <c r="C46" s="16">
        <v>0.43</v>
      </c>
      <c r="D46" s="7">
        <f>B46*C46</f>
        <v>71079000</v>
      </c>
    </row>
    <row r="47" spans="1:8" x14ac:dyDescent="0.25">
      <c r="A47">
        <v>2027</v>
      </c>
      <c r="B47" s="7">
        <f>B32*E32</f>
        <v>218880000</v>
      </c>
      <c r="C47" s="16">
        <v>0.43</v>
      </c>
      <c r="D47" s="7">
        <f t="shared" ref="D47:D51" si="3">B47*C47</f>
        <v>94118400</v>
      </c>
    </row>
    <row r="48" spans="1:8" x14ac:dyDescent="0.25">
      <c r="A48">
        <v>2028</v>
      </c>
      <c r="B48" s="7">
        <f t="shared" ref="B48:B51" si="4">B33*E33-G33</f>
        <v>239400000</v>
      </c>
      <c r="C48" s="16">
        <v>0.43</v>
      </c>
      <c r="D48" s="7">
        <f t="shared" si="3"/>
        <v>102942000</v>
      </c>
    </row>
    <row r="49" spans="1:5" x14ac:dyDescent="0.25">
      <c r="A49">
        <v>2029</v>
      </c>
      <c r="B49" s="7">
        <f t="shared" si="4"/>
        <v>324900000</v>
      </c>
      <c r="C49" s="16">
        <v>0.43</v>
      </c>
      <c r="D49" s="7">
        <f t="shared" si="3"/>
        <v>139707000</v>
      </c>
    </row>
    <row r="50" spans="1:5" x14ac:dyDescent="0.25">
      <c r="A50">
        <v>2030</v>
      </c>
      <c r="B50" s="7">
        <f t="shared" si="4"/>
        <v>262200000</v>
      </c>
      <c r="C50" s="16">
        <v>0.43</v>
      </c>
      <c r="D50" s="7">
        <f t="shared" si="3"/>
        <v>112746000</v>
      </c>
    </row>
    <row r="51" spans="1:5" ht="15.75" thickBot="1" x14ac:dyDescent="0.3">
      <c r="A51">
        <v>2031</v>
      </c>
      <c r="B51" s="7">
        <f t="shared" si="4"/>
        <v>142500000</v>
      </c>
      <c r="C51" s="16">
        <v>0.43</v>
      </c>
      <c r="D51" s="7">
        <f t="shared" si="3"/>
        <v>61275000</v>
      </c>
    </row>
    <row r="52" spans="1:5" ht="15.75" thickBot="1" x14ac:dyDescent="0.3">
      <c r="A52" s="3" t="s">
        <v>12</v>
      </c>
      <c r="B52" s="8">
        <f>SUM(B46:B51)</f>
        <v>1353180000</v>
      </c>
      <c r="C52" s="14"/>
      <c r="D52" s="8">
        <f>SUM(D46:D51)</f>
        <v>581867400</v>
      </c>
    </row>
    <row r="55" spans="1:5" x14ac:dyDescent="0.25">
      <c r="A55" t="s">
        <v>17</v>
      </c>
    </row>
    <row r="56" spans="1:5" ht="15.75" thickBot="1" x14ac:dyDescent="0.3"/>
    <row r="57" spans="1:5" ht="15.75" thickBot="1" x14ac:dyDescent="0.3">
      <c r="A57" s="14" t="s">
        <v>6</v>
      </c>
      <c r="B57" s="14" t="s">
        <v>63</v>
      </c>
      <c r="C57" s="14" t="s">
        <v>62</v>
      </c>
      <c r="D57" s="14" t="s">
        <v>18</v>
      </c>
      <c r="E57" s="15" t="s">
        <v>19</v>
      </c>
    </row>
    <row r="58" spans="1:5" x14ac:dyDescent="0.25">
      <c r="A58" s="31">
        <v>2026</v>
      </c>
      <c r="B58" s="32">
        <v>12000000</v>
      </c>
      <c r="C58" s="32">
        <v>6000000</v>
      </c>
      <c r="D58" s="32">
        <v>32000000</v>
      </c>
      <c r="E58" s="9">
        <f>B58+C58+D58</f>
        <v>50000000</v>
      </c>
    </row>
    <row r="59" spans="1:5" x14ac:dyDescent="0.25">
      <c r="A59" s="31">
        <v>2027</v>
      </c>
      <c r="B59" s="32">
        <v>12000000</v>
      </c>
      <c r="C59" s="32">
        <v>6000000</v>
      </c>
      <c r="D59" s="32">
        <v>24000000</v>
      </c>
      <c r="E59" s="9">
        <f t="shared" ref="E59:E63" si="5">B59+C59+D59</f>
        <v>42000000</v>
      </c>
    </row>
    <row r="60" spans="1:5" x14ac:dyDescent="0.25">
      <c r="A60" s="31">
        <v>2028</v>
      </c>
      <c r="B60" s="32">
        <v>12000000</v>
      </c>
      <c r="C60" s="32">
        <v>6000000</v>
      </c>
      <c r="D60" s="32">
        <v>20000000</v>
      </c>
      <c r="E60" s="9">
        <f t="shared" si="5"/>
        <v>38000000</v>
      </c>
    </row>
    <row r="61" spans="1:5" x14ac:dyDescent="0.25">
      <c r="A61" s="31">
        <v>2029</v>
      </c>
      <c r="B61" s="32">
        <v>12000000</v>
      </c>
      <c r="C61" s="32">
        <v>6000000</v>
      </c>
      <c r="D61" s="33">
        <v>30000000</v>
      </c>
      <c r="E61" s="9">
        <f t="shared" si="5"/>
        <v>48000000</v>
      </c>
    </row>
    <row r="62" spans="1:5" x14ac:dyDescent="0.25">
      <c r="A62" s="31">
        <v>2030</v>
      </c>
      <c r="B62" s="32">
        <v>12000000</v>
      </c>
      <c r="C62" s="32">
        <v>6000000</v>
      </c>
      <c r="D62" s="33">
        <v>25000000</v>
      </c>
      <c r="E62" s="9">
        <f t="shared" si="5"/>
        <v>43000000</v>
      </c>
    </row>
    <row r="63" spans="1:5" ht="15.75" thickBot="1" x14ac:dyDescent="0.3">
      <c r="A63" s="31">
        <v>2031</v>
      </c>
      <c r="B63" s="32">
        <v>12000000</v>
      </c>
      <c r="C63" s="32">
        <v>6000000</v>
      </c>
      <c r="D63" s="33">
        <v>18000000</v>
      </c>
      <c r="E63" s="9">
        <f t="shared" si="5"/>
        <v>36000000</v>
      </c>
    </row>
    <row r="64" spans="1:5" ht="15.75" thickBot="1" x14ac:dyDescent="0.3">
      <c r="A64" s="14" t="s">
        <v>12</v>
      </c>
      <c r="B64" s="8">
        <f>SUM(B58:B63)</f>
        <v>72000000</v>
      </c>
      <c r="C64" s="8">
        <f>SUM(C58:C63)</f>
        <v>36000000</v>
      </c>
      <c r="D64" s="8">
        <f>SUM(D58:D63)</f>
        <v>149000000</v>
      </c>
      <c r="E64" s="4">
        <f>SUM(E58:E63)</f>
        <v>257000000</v>
      </c>
    </row>
    <row r="68" spans="1:4" x14ac:dyDescent="0.25">
      <c r="A68" t="s">
        <v>20</v>
      </c>
    </row>
    <row r="69" spans="1:4" x14ac:dyDescent="0.25">
      <c r="A69" t="s">
        <v>61</v>
      </c>
    </row>
    <row r="70" spans="1:4" ht="15.75" thickBot="1" x14ac:dyDescent="0.3"/>
    <row r="71" spans="1:4" ht="15.75" thickBot="1" x14ac:dyDescent="0.3">
      <c r="A71" s="14" t="s">
        <v>6</v>
      </c>
      <c r="B71" s="14" t="s">
        <v>21</v>
      </c>
      <c r="C71" s="14" t="s">
        <v>23</v>
      </c>
      <c r="D71" s="15" t="s">
        <v>24</v>
      </c>
    </row>
    <row r="72" spans="1:4" x14ac:dyDescent="0.25">
      <c r="A72" s="31">
        <v>2026</v>
      </c>
      <c r="B72" s="32">
        <v>210000000</v>
      </c>
      <c r="C72" s="34">
        <v>2.5999999999999999E-2</v>
      </c>
      <c r="D72" s="9">
        <f t="shared" ref="D72:D77" si="6">B72*C72</f>
        <v>5460000</v>
      </c>
    </row>
    <row r="73" spans="1:4" x14ac:dyDescent="0.25">
      <c r="A73" s="31">
        <v>2027</v>
      </c>
      <c r="B73" s="32">
        <v>210000000</v>
      </c>
      <c r="C73" s="16">
        <v>0.05</v>
      </c>
      <c r="D73" s="9">
        <f t="shared" si="6"/>
        <v>10500000</v>
      </c>
    </row>
    <row r="74" spans="1:4" x14ac:dyDescent="0.25">
      <c r="A74" s="31">
        <v>2028</v>
      </c>
      <c r="B74" s="32">
        <v>210000000</v>
      </c>
      <c r="C74" s="34">
        <v>4.7E-2</v>
      </c>
      <c r="D74" s="9">
        <f t="shared" si="6"/>
        <v>9870000</v>
      </c>
    </row>
    <row r="75" spans="1:4" x14ac:dyDescent="0.25">
      <c r="A75" s="31">
        <v>2029</v>
      </c>
      <c r="B75" s="32">
        <v>210000000</v>
      </c>
      <c r="C75" s="34">
        <v>4.4999999999999998E-2</v>
      </c>
      <c r="D75" s="9">
        <f t="shared" si="6"/>
        <v>9450000</v>
      </c>
    </row>
    <row r="76" spans="1:4" x14ac:dyDescent="0.25">
      <c r="A76" s="31">
        <v>2030</v>
      </c>
      <c r="B76" s="32">
        <v>210000000</v>
      </c>
      <c r="C76" s="34">
        <v>4.2999999999999997E-2</v>
      </c>
      <c r="D76" s="9">
        <f t="shared" si="6"/>
        <v>9030000</v>
      </c>
    </row>
    <row r="77" spans="1:4" ht="15.75" thickBot="1" x14ac:dyDescent="0.3">
      <c r="A77" s="31">
        <v>2031</v>
      </c>
      <c r="B77" s="32">
        <v>210000000</v>
      </c>
      <c r="C77" s="16">
        <v>0.04</v>
      </c>
      <c r="D77" s="9">
        <f t="shared" si="6"/>
        <v>8400000</v>
      </c>
    </row>
    <row r="78" spans="1:4" ht="15.75" thickBot="1" x14ac:dyDescent="0.3">
      <c r="A78" s="14" t="s">
        <v>22</v>
      </c>
      <c r="B78" s="24">
        <v>210000000</v>
      </c>
      <c r="C78" s="35">
        <f>SUM(C72:C77)</f>
        <v>0.25099999999999995</v>
      </c>
      <c r="D78" s="4">
        <f>SUM(D72:D77)</f>
        <v>52710000</v>
      </c>
    </row>
    <row r="82" spans="1:4" x14ac:dyDescent="0.25">
      <c r="A82" t="s">
        <v>26</v>
      </c>
    </row>
    <row r="84" spans="1:4" x14ac:dyDescent="0.25">
      <c r="A84" t="s">
        <v>27</v>
      </c>
    </row>
    <row r="85" spans="1:4" ht="15.75" thickBot="1" x14ac:dyDescent="0.3"/>
    <row r="86" spans="1:4" ht="15.75" thickBot="1" x14ac:dyDescent="0.3">
      <c r="A86" s="14" t="s">
        <v>6</v>
      </c>
      <c r="B86" s="14" t="s">
        <v>28</v>
      </c>
      <c r="C86" s="14" t="s">
        <v>16</v>
      </c>
      <c r="D86" s="15" t="s">
        <v>26</v>
      </c>
    </row>
    <row r="87" spans="1:4" x14ac:dyDescent="0.25">
      <c r="A87" s="31">
        <v>2026</v>
      </c>
      <c r="B87" s="7">
        <f>B58+C58+D58</f>
        <v>50000000</v>
      </c>
      <c r="C87" s="7">
        <f>B46*C46</f>
        <v>71079000</v>
      </c>
      <c r="D87" s="9">
        <f>B87+C87</f>
        <v>121079000</v>
      </c>
    </row>
    <row r="88" spans="1:4" x14ac:dyDescent="0.25">
      <c r="A88" s="31">
        <v>2027</v>
      </c>
      <c r="B88" s="7">
        <f t="shared" ref="B88:B92" si="7">B59+C59+D59</f>
        <v>42000000</v>
      </c>
      <c r="C88" s="7">
        <f t="shared" ref="C88:C92" si="8">B47*C47</f>
        <v>94118400</v>
      </c>
      <c r="D88" s="9">
        <f t="shared" ref="D88:D92" si="9">B88+C88</f>
        <v>136118400</v>
      </c>
    </row>
    <row r="89" spans="1:4" x14ac:dyDescent="0.25">
      <c r="A89" s="31">
        <v>2028</v>
      </c>
      <c r="B89" s="7">
        <f t="shared" si="7"/>
        <v>38000000</v>
      </c>
      <c r="C89" s="7">
        <f t="shared" si="8"/>
        <v>102942000</v>
      </c>
      <c r="D89" s="9">
        <f t="shared" si="9"/>
        <v>140942000</v>
      </c>
    </row>
    <row r="90" spans="1:4" x14ac:dyDescent="0.25">
      <c r="A90" s="31">
        <v>2029</v>
      </c>
      <c r="B90" s="7">
        <f t="shared" si="7"/>
        <v>48000000</v>
      </c>
      <c r="C90" s="7">
        <f t="shared" si="8"/>
        <v>139707000</v>
      </c>
      <c r="D90" s="9">
        <f t="shared" si="9"/>
        <v>187707000</v>
      </c>
    </row>
    <row r="91" spans="1:4" x14ac:dyDescent="0.25">
      <c r="A91" s="31">
        <v>2030</v>
      </c>
      <c r="B91" s="7">
        <f t="shared" si="7"/>
        <v>43000000</v>
      </c>
      <c r="C91" s="7">
        <f t="shared" si="8"/>
        <v>112746000</v>
      </c>
      <c r="D91" s="9">
        <f t="shared" si="9"/>
        <v>155746000</v>
      </c>
    </row>
    <row r="92" spans="1:4" ht="15.75" thickBot="1" x14ac:dyDescent="0.3">
      <c r="A92" s="31">
        <v>2031</v>
      </c>
      <c r="B92" s="7">
        <f t="shared" si="7"/>
        <v>36000000</v>
      </c>
      <c r="C92" s="7">
        <f t="shared" si="8"/>
        <v>61275000</v>
      </c>
      <c r="D92" s="9">
        <f t="shared" si="9"/>
        <v>97275000</v>
      </c>
    </row>
    <row r="93" spans="1:4" ht="15.75" thickBot="1" x14ac:dyDescent="0.3">
      <c r="A93" s="14" t="s">
        <v>12</v>
      </c>
      <c r="B93" s="8">
        <f>SUM(B87:B92)</f>
        <v>257000000</v>
      </c>
      <c r="C93" s="8">
        <f>SUM(C87:C92)</f>
        <v>581867400</v>
      </c>
      <c r="D93" s="4">
        <f>SUM(D87:D92)</f>
        <v>838867400</v>
      </c>
    </row>
    <row r="97" spans="1:7" x14ac:dyDescent="0.25">
      <c r="A97" t="s">
        <v>25</v>
      </c>
    </row>
    <row r="99" spans="1:7" x14ac:dyDescent="0.25">
      <c r="A99" t="s">
        <v>66</v>
      </c>
    </row>
    <row r="100" spans="1:7" ht="15.75" thickBot="1" x14ac:dyDescent="0.3"/>
    <row r="101" spans="1:7" ht="15.75" thickBot="1" x14ac:dyDescent="0.3">
      <c r="A101" s="14"/>
      <c r="B101" s="14">
        <v>2026</v>
      </c>
      <c r="C101" s="14">
        <v>2027</v>
      </c>
      <c r="D101" s="14">
        <v>2028</v>
      </c>
      <c r="E101" s="14">
        <v>2029</v>
      </c>
      <c r="F101" s="14">
        <v>2030</v>
      </c>
      <c r="G101" s="15">
        <v>2031</v>
      </c>
    </row>
    <row r="102" spans="1:7" x14ac:dyDescent="0.25">
      <c r="A102" s="31" t="s">
        <v>29</v>
      </c>
      <c r="B102" s="7">
        <f>F31-G31</f>
        <v>143300000</v>
      </c>
      <c r="C102" s="7">
        <f>F32-G32</f>
        <v>206880000</v>
      </c>
      <c r="D102" s="7">
        <f>F33-G33</f>
        <v>239400000</v>
      </c>
      <c r="E102" s="7">
        <f>F34-G34</f>
        <v>324900000</v>
      </c>
      <c r="F102" s="7">
        <f>F35-G35</f>
        <v>262200000</v>
      </c>
      <c r="G102" s="9">
        <f>F36-G36</f>
        <v>142500000</v>
      </c>
    </row>
    <row r="103" spans="1:7" x14ac:dyDescent="0.25">
      <c r="A103" s="31" t="s">
        <v>26</v>
      </c>
      <c r="B103" s="7">
        <f>B87+C87</f>
        <v>121079000</v>
      </c>
      <c r="C103" s="7">
        <f>B88+C88</f>
        <v>136118400</v>
      </c>
      <c r="D103" s="7">
        <f>B89+C89</f>
        <v>140942000</v>
      </c>
      <c r="E103" s="7">
        <f>B90+C90</f>
        <v>187707000</v>
      </c>
      <c r="F103" s="7">
        <f>B91+C91</f>
        <v>155746000</v>
      </c>
      <c r="G103" s="9">
        <f>B92+C92</f>
        <v>97275000</v>
      </c>
    </row>
    <row r="104" spans="1:7" ht="15.75" thickBot="1" x14ac:dyDescent="0.3">
      <c r="A104" s="31" t="s">
        <v>24</v>
      </c>
      <c r="B104" s="32">
        <f>B72*C72</f>
        <v>5460000</v>
      </c>
      <c r="C104" s="32">
        <f>B73*C73</f>
        <v>10500000</v>
      </c>
      <c r="D104" s="32">
        <f>B74*C74</f>
        <v>9870000</v>
      </c>
      <c r="E104" s="32">
        <f>B75*C75</f>
        <v>9450000</v>
      </c>
      <c r="F104" s="32">
        <f>B76*C76</f>
        <v>9030000</v>
      </c>
      <c r="G104" s="11">
        <f>B77*C77</f>
        <v>8400000</v>
      </c>
    </row>
    <row r="105" spans="1:7" ht="15.75" thickBot="1" x14ac:dyDescent="0.3">
      <c r="A105" s="14" t="s">
        <v>30</v>
      </c>
      <c r="B105" s="8">
        <f>B102-(B103+B104)</f>
        <v>16761000</v>
      </c>
      <c r="C105" s="8">
        <f t="shared" ref="C105:G105" si="10">C102-(C103+C104)</f>
        <v>60261600</v>
      </c>
      <c r="D105" s="8">
        <f>D102-(D103+D104)</f>
        <v>88588000</v>
      </c>
      <c r="E105" s="8">
        <f t="shared" si="10"/>
        <v>127743000</v>
      </c>
      <c r="F105" s="8">
        <f t="shared" si="10"/>
        <v>97424000</v>
      </c>
      <c r="G105" s="4">
        <f t="shared" si="10"/>
        <v>36825000</v>
      </c>
    </row>
    <row r="108" spans="1:7" x14ac:dyDescent="0.25">
      <c r="A108" t="s">
        <v>31</v>
      </c>
    </row>
    <row r="110" spans="1:7" x14ac:dyDescent="0.25">
      <c r="A110" t="s">
        <v>33</v>
      </c>
    </row>
    <row r="111" spans="1:7" x14ac:dyDescent="0.25">
      <c r="A111" t="s">
        <v>32</v>
      </c>
    </row>
    <row r="112" spans="1:7" ht="15.75" thickBot="1" x14ac:dyDescent="0.3"/>
    <row r="113" spans="1:7" ht="15.75" thickBot="1" x14ac:dyDescent="0.3">
      <c r="A113" s="14"/>
      <c r="B113" s="14">
        <v>2026</v>
      </c>
      <c r="C113" s="14">
        <v>2027</v>
      </c>
      <c r="D113" s="14">
        <v>2028</v>
      </c>
      <c r="E113" s="14">
        <v>2029</v>
      </c>
      <c r="F113" s="14">
        <v>2030</v>
      </c>
      <c r="G113" s="15">
        <v>2031</v>
      </c>
    </row>
    <row r="114" spans="1:7" x14ac:dyDescent="0.25">
      <c r="A114" s="31" t="s">
        <v>30</v>
      </c>
      <c r="B114" s="7">
        <f t="shared" ref="B114:G114" si="11">B102-(B103+B104)</f>
        <v>16761000</v>
      </c>
      <c r="C114" s="7">
        <f t="shared" si="11"/>
        <v>60261600</v>
      </c>
      <c r="D114" s="7">
        <f t="shared" si="11"/>
        <v>88588000</v>
      </c>
      <c r="E114" s="7">
        <f t="shared" si="11"/>
        <v>127743000</v>
      </c>
      <c r="F114" s="7">
        <f t="shared" si="11"/>
        <v>97424000</v>
      </c>
      <c r="G114" s="9">
        <f t="shared" si="11"/>
        <v>36825000</v>
      </c>
    </row>
    <row r="115" spans="1:7" ht="15.75" thickBot="1" x14ac:dyDescent="0.3">
      <c r="A115" s="31" t="s">
        <v>34</v>
      </c>
      <c r="B115" s="7">
        <f>B114*21%</f>
        <v>3519810</v>
      </c>
      <c r="C115" s="7">
        <f t="shared" ref="C115:G115" si="12">C114*21%</f>
        <v>12654936</v>
      </c>
      <c r="D115" s="7">
        <f t="shared" si="12"/>
        <v>18603480</v>
      </c>
      <c r="E115" s="7">
        <f t="shared" si="12"/>
        <v>26826030</v>
      </c>
      <c r="F115" s="7">
        <f t="shared" si="12"/>
        <v>20459040</v>
      </c>
      <c r="G115" s="9">
        <f t="shared" si="12"/>
        <v>7733250</v>
      </c>
    </row>
    <row r="116" spans="1:7" ht="15.75" thickBot="1" x14ac:dyDescent="0.3">
      <c r="A116" s="14" t="s">
        <v>31</v>
      </c>
      <c r="B116" s="8">
        <f t="shared" ref="B116:G116" si="13">B114-B115</f>
        <v>13241190</v>
      </c>
      <c r="C116" s="8">
        <f t="shared" si="13"/>
        <v>47606664</v>
      </c>
      <c r="D116" s="8">
        <f t="shared" si="13"/>
        <v>69984520</v>
      </c>
      <c r="E116" s="8">
        <f t="shared" si="13"/>
        <v>100916970</v>
      </c>
      <c r="F116" s="8">
        <f t="shared" si="13"/>
        <v>76964960</v>
      </c>
      <c r="G116" s="4">
        <f t="shared" si="13"/>
        <v>29091750</v>
      </c>
    </row>
    <row r="119" spans="1:7" x14ac:dyDescent="0.25">
      <c r="A119" t="s">
        <v>35</v>
      </c>
    </row>
    <row r="121" spans="1:7" x14ac:dyDescent="0.25">
      <c r="A121" t="s">
        <v>179</v>
      </c>
    </row>
    <row r="122" spans="1:7" ht="15.75" thickBot="1" x14ac:dyDescent="0.3"/>
    <row r="123" spans="1:7" ht="15.75" thickBot="1" x14ac:dyDescent="0.3">
      <c r="A123" s="14" t="s">
        <v>6</v>
      </c>
      <c r="B123" s="14" t="s">
        <v>31</v>
      </c>
      <c r="C123" s="14" t="s">
        <v>24</v>
      </c>
      <c r="D123" s="15" t="s">
        <v>0</v>
      </c>
    </row>
    <row r="124" spans="1:7" x14ac:dyDescent="0.25">
      <c r="A124" s="31">
        <v>2026</v>
      </c>
      <c r="B124" s="32">
        <f>B114-B115</f>
        <v>13241190</v>
      </c>
      <c r="C124" s="32">
        <f t="shared" ref="C124:C129" si="14">B72*C72</f>
        <v>5460000</v>
      </c>
      <c r="D124" s="9">
        <f>B124+C124</f>
        <v>18701190</v>
      </c>
    </row>
    <row r="125" spans="1:7" x14ac:dyDescent="0.25">
      <c r="A125" s="31">
        <v>2027</v>
      </c>
      <c r="B125" s="32">
        <f>C114-C115</f>
        <v>47606664</v>
      </c>
      <c r="C125" s="32">
        <f t="shared" si="14"/>
        <v>10500000</v>
      </c>
      <c r="D125" s="9">
        <f t="shared" ref="D125:D129" si="15">B125+C125</f>
        <v>58106664</v>
      </c>
    </row>
    <row r="126" spans="1:7" x14ac:dyDescent="0.25">
      <c r="A126" s="31">
        <v>2028</v>
      </c>
      <c r="B126" s="32">
        <f>D114-D115</f>
        <v>69984520</v>
      </c>
      <c r="C126" s="32">
        <f t="shared" si="14"/>
        <v>9870000</v>
      </c>
      <c r="D126" s="9">
        <f t="shared" si="15"/>
        <v>79854520</v>
      </c>
    </row>
    <row r="127" spans="1:7" x14ac:dyDescent="0.25">
      <c r="A127" s="31">
        <v>2029</v>
      </c>
      <c r="B127" s="32">
        <f>E114-E115</f>
        <v>100916970</v>
      </c>
      <c r="C127" s="32">
        <f t="shared" si="14"/>
        <v>9450000</v>
      </c>
      <c r="D127" s="9">
        <f t="shared" si="15"/>
        <v>110366970</v>
      </c>
    </row>
    <row r="128" spans="1:7" x14ac:dyDescent="0.25">
      <c r="A128" s="31">
        <v>2030</v>
      </c>
      <c r="B128" s="32">
        <f>F114-F115</f>
        <v>76964960</v>
      </c>
      <c r="C128" s="32">
        <f t="shared" si="14"/>
        <v>9030000</v>
      </c>
      <c r="D128" s="9">
        <f t="shared" si="15"/>
        <v>85994960</v>
      </c>
    </row>
    <row r="129" spans="1:4" ht="15.75" thickBot="1" x14ac:dyDescent="0.3">
      <c r="A129" s="30">
        <v>2031</v>
      </c>
      <c r="B129" s="36">
        <f>G114-G115</f>
        <v>29091750</v>
      </c>
      <c r="C129" s="36">
        <f t="shared" si="14"/>
        <v>8400000</v>
      </c>
      <c r="D129" s="10">
        <f t="shared" si="15"/>
        <v>37491750</v>
      </c>
    </row>
    <row r="134" spans="1:4" x14ac:dyDescent="0.25">
      <c r="A134" t="s">
        <v>36</v>
      </c>
    </row>
    <row r="136" spans="1:4" x14ac:dyDescent="0.25">
      <c r="A136" t="s">
        <v>52</v>
      </c>
      <c r="B136" s="6"/>
    </row>
    <row r="137" spans="1:4" ht="40.5" customHeight="1" x14ac:dyDescent="0.25">
      <c r="A137" s="12" t="s">
        <v>37</v>
      </c>
      <c r="B137" s="12" t="s">
        <v>51</v>
      </c>
    </row>
    <row r="138" spans="1:4" x14ac:dyDescent="0.25">
      <c r="A138" t="s">
        <v>53</v>
      </c>
    </row>
    <row r="139" spans="1:4" ht="45" x14ac:dyDescent="0.25">
      <c r="A139" s="12" t="s">
        <v>38</v>
      </c>
      <c r="B139" s="12" t="s">
        <v>54</v>
      </c>
    </row>
    <row r="140" spans="1:4" x14ac:dyDescent="0.25">
      <c r="A140" t="s">
        <v>39</v>
      </c>
    </row>
    <row r="141" spans="1:4" ht="30" x14ac:dyDescent="0.25">
      <c r="A141" s="12" t="s">
        <v>40</v>
      </c>
      <c r="B141" s="12" t="s">
        <v>55</v>
      </c>
    </row>
    <row r="142" spans="1:4" x14ac:dyDescent="0.25">
      <c r="A142" t="s">
        <v>48</v>
      </c>
    </row>
    <row r="143" spans="1:4" ht="30" x14ac:dyDescent="0.25">
      <c r="A143" s="12" t="s">
        <v>41</v>
      </c>
      <c r="B143" s="12" t="s">
        <v>49</v>
      </c>
    </row>
    <row r="144" spans="1:4" x14ac:dyDescent="0.25">
      <c r="A144" t="s">
        <v>145</v>
      </c>
      <c r="B144" s="63">
        <v>131780900</v>
      </c>
    </row>
    <row r="146" spans="1:11" x14ac:dyDescent="0.25">
      <c r="A146" t="s">
        <v>42</v>
      </c>
    </row>
    <row r="147" spans="1:11" ht="15.75" thickBot="1" x14ac:dyDescent="0.3"/>
    <row r="148" spans="1:11" ht="15.75" thickBot="1" x14ac:dyDescent="0.3">
      <c r="A148" s="14" t="s">
        <v>6</v>
      </c>
      <c r="B148" s="15" t="s">
        <v>43</v>
      </c>
    </row>
    <row r="149" spans="1:11" x14ac:dyDescent="0.25">
      <c r="A149" s="31">
        <v>0</v>
      </c>
      <c r="B149" s="5" t="s">
        <v>50</v>
      </c>
    </row>
    <row r="150" spans="1:11" x14ac:dyDescent="0.25">
      <c r="A150" s="31">
        <v>2026</v>
      </c>
      <c r="B150" s="9">
        <f>D124</f>
        <v>18701190</v>
      </c>
    </row>
    <row r="151" spans="1:11" x14ac:dyDescent="0.25">
      <c r="A151" s="31">
        <v>2027</v>
      </c>
      <c r="B151" s="9">
        <f>D125</f>
        <v>58106664</v>
      </c>
    </row>
    <row r="152" spans="1:11" x14ac:dyDescent="0.25">
      <c r="A152" s="31">
        <v>2028</v>
      </c>
      <c r="B152" s="9">
        <f>D126</f>
        <v>79854520</v>
      </c>
    </row>
    <row r="153" spans="1:11" x14ac:dyDescent="0.25">
      <c r="A153" s="31">
        <v>2029</v>
      </c>
      <c r="B153" s="9">
        <f>D127</f>
        <v>110366970</v>
      </c>
    </row>
    <row r="154" spans="1:11" x14ac:dyDescent="0.25">
      <c r="A154" s="31">
        <v>2030</v>
      </c>
      <c r="B154" s="9">
        <f>D128</f>
        <v>85994960</v>
      </c>
    </row>
    <row r="155" spans="1:11" ht="15.75" thickBot="1" x14ac:dyDescent="0.3">
      <c r="A155" s="30">
        <v>2031</v>
      </c>
      <c r="B155" s="10">
        <f>D129+B144</f>
        <v>169272650</v>
      </c>
      <c r="C155" t="s">
        <v>146</v>
      </c>
    </row>
    <row r="156" spans="1:11" x14ac:dyDescent="0.25">
      <c r="B156" s="13"/>
    </row>
    <row r="159" spans="1:11" ht="5.0999999999999996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</row>
    <row r="162" spans="1:4" x14ac:dyDescent="0.25">
      <c r="A162" t="s">
        <v>67</v>
      </c>
    </row>
    <row r="163" spans="1:4" x14ac:dyDescent="0.25">
      <c r="A163" t="s">
        <v>68</v>
      </c>
    </row>
    <row r="165" spans="1:4" x14ac:dyDescent="0.25">
      <c r="A165" t="s">
        <v>69</v>
      </c>
    </row>
    <row r="166" spans="1:4" x14ac:dyDescent="0.25">
      <c r="A166" s="1" t="s">
        <v>70</v>
      </c>
      <c r="B166" s="13"/>
    </row>
    <row r="167" spans="1:4" x14ac:dyDescent="0.25">
      <c r="A167" t="s">
        <v>2</v>
      </c>
    </row>
    <row r="168" spans="1:4" x14ac:dyDescent="0.25">
      <c r="A168" t="s">
        <v>71</v>
      </c>
      <c r="B168" s="13"/>
    </row>
    <row r="169" spans="1:4" ht="16.350000000000001" customHeight="1" x14ac:dyDescent="0.25">
      <c r="A169" t="s">
        <v>2</v>
      </c>
    </row>
    <row r="170" spans="1:4" ht="44.45" customHeight="1" x14ac:dyDescent="0.25">
      <c r="A170" s="12" t="s">
        <v>75</v>
      </c>
      <c r="B170" s="12" t="s">
        <v>72</v>
      </c>
      <c r="C170" s="38" t="s">
        <v>73</v>
      </c>
      <c r="D170" s="12" t="s">
        <v>74</v>
      </c>
    </row>
    <row r="171" spans="1:4" ht="30" x14ac:dyDescent="0.25">
      <c r="A171" s="12" t="s">
        <v>77</v>
      </c>
      <c r="B171" s="12" t="s">
        <v>76</v>
      </c>
    </row>
    <row r="173" spans="1:4" x14ac:dyDescent="0.25">
      <c r="A173" t="s">
        <v>175</v>
      </c>
      <c r="B173" s="13">
        <v>90000000</v>
      </c>
    </row>
    <row r="175" spans="1:4" x14ac:dyDescent="0.25">
      <c r="A175" t="s">
        <v>78</v>
      </c>
    </row>
    <row r="177" spans="1:4" x14ac:dyDescent="0.25">
      <c r="A177" t="s">
        <v>79</v>
      </c>
    </row>
    <row r="179" spans="1:4" x14ac:dyDescent="0.25">
      <c r="A179" t="s">
        <v>80</v>
      </c>
      <c r="B179" s="45">
        <v>0.14000000000000001</v>
      </c>
    </row>
    <row r="180" spans="1:4" x14ac:dyDescent="0.25">
      <c r="A180" s="12" t="s">
        <v>180</v>
      </c>
    </row>
    <row r="181" spans="1:4" ht="30" x14ac:dyDescent="0.25">
      <c r="A181" s="12" t="s">
        <v>81</v>
      </c>
    </row>
    <row r="182" spans="1:4" x14ac:dyDescent="0.25">
      <c r="A182" t="s">
        <v>122</v>
      </c>
      <c r="B182" s="2" t="s">
        <v>181</v>
      </c>
      <c r="C182" s="2">
        <f>385000000*(1+14%)</f>
        <v>438900000.00000006</v>
      </c>
    </row>
    <row r="183" spans="1:4" ht="15.75" thickBot="1" x14ac:dyDescent="0.3"/>
    <row r="184" spans="1:4" ht="15.75" thickBot="1" x14ac:dyDescent="0.3">
      <c r="A184" s="3" t="s">
        <v>6</v>
      </c>
      <c r="B184" s="14" t="s">
        <v>82</v>
      </c>
      <c r="C184" s="14" t="s">
        <v>121</v>
      </c>
      <c r="D184" s="14" t="s">
        <v>5</v>
      </c>
    </row>
    <row r="185" spans="1:4" x14ac:dyDescent="0.25">
      <c r="A185" s="39">
        <v>2026</v>
      </c>
      <c r="B185" s="68">
        <f>C182</f>
        <v>438900000.00000006</v>
      </c>
      <c r="C185" s="16">
        <v>0.15</v>
      </c>
      <c r="D185" s="68">
        <f>B185*C185</f>
        <v>65835000.000000007</v>
      </c>
    </row>
    <row r="186" spans="1:4" x14ac:dyDescent="0.25">
      <c r="A186" s="39">
        <v>2027</v>
      </c>
      <c r="B186" s="68">
        <f>B185*(1+B179)</f>
        <v>500346000.00000012</v>
      </c>
      <c r="C186" s="16">
        <v>0.19</v>
      </c>
      <c r="D186" s="68">
        <f>B186*C186</f>
        <v>95065740.00000003</v>
      </c>
    </row>
    <row r="187" spans="1:4" ht="15.75" thickBot="1" x14ac:dyDescent="0.3">
      <c r="A187" s="39">
        <v>2028</v>
      </c>
      <c r="B187" s="68">
        <f>B186*(1+B179)</f>
        <v>570394440.00000024</v>
      </c>
      <c r="C187" s="16">
        <v>0.22</v>
      </c>
      <c r="D187" s="68">
        <f>B187*C187</f>
        <v>125486776.80000006</v>
      </c>
    </row>
    <row r="188" spans="1:4" ht="15.75" thickBot="1" x14ac:dyDescent="0.3">
      <c r="A188" s="3" t="s">
        <v>12</v>
      </c>
      <c r="B188" s="14"/>
      <c r="C188" s="14"/>
      <c r="D188" s="72">
        <f>SUM(D185:D187)</f>
        <v>286387516.80000007</v>
      </c>
    </row>
    <row r="190" spans="1:4" x14ac:dyDescent="0.25">
      <c r="A190" t="s">
        <v>83</v>
      </c>
    </row>
    <row r="192" spans="1:4" x14ac:dyDescent="0.25">
      <c r="A192" t="s">
        <v>84</v>
      </c>
    </row>
    <row r="193" spans="1:4" ht="15.75" thickBot="1" x14ac:dyDescent="0.3"/>
    <row r="194" spans="1:4" ht="15.75" thickBot="1" x14ac:dyDescent="0.3">
      <c r="A194" s="3" t="s">
        <v>6</v>
      </c>
      <c r="B194" s="14" t="s">
        <v>5</v>
      </c>
      <c r="C194" s="14" t="s">
        <v>85</v>
      </c>
      <c r="D194" s="15" t="s">
        <v>86</v>
      </c>
    </row>
    <row r="195" spans="1:4" x14ac:dyDescent="0.25">
      <c r="A195" s="39">
        <v>2026</v>
      </c>
      <c r="B195" s="68">
        <f>B185*C185</f>
        <v>65835000.000000007</v>
      </c>
      <c r="C195" s="16">
        <v>0.45</v>
      </c>
      <c r="D195" s="43">
        <f>B195*C195</f>
        <v>29625750.000000004</v>
      </c>
    </row>
    <row r="196" spans="1:4" x14ac:dyDescent="0.25">
      <c r="A196" s="39">
        <v>2027</v>
      </c>
      <c r="B196" s="68">
        <f>B186*C186</f>
        <v>95065740.00000003</v>
      </c>
      <c r="C196" s="16">
        <v>0.45</v>
      </c>
      <c r="D196" s="43">
        <f>B196*C196</f>
        <v>42779583.000000015</v>
      </c>
    </row>
    <row r="197" spans="1:4" ht="15.75" thickBot="1" x14ac:dyDescent="0.3">
      <c r="A197" s="39">
        <v>2028</v>
      </c>
      <c r="B197" s="68">
        <f>B187*C187</f>
        <v>125486776.80000006</v>
      </c>
      <c r="C197" s="16">
        <v>0.45</v>
      </c>
      <c r="D197" s="43">
        <f t="shared" ref="D197" si="16">B197*C197</f>
        <v>56469049.560000025</v>
      </c>
    </row>
    <row r="198" spans="1:4" ht="15.75" thickBot="1" x14ac:dyDescent="0.3">
      <c r="A198" s="3" t="s">
        <v>12</v>
      </c>
      <c r="B198" s="72">
        <f>SUM(B195:B197)</f>
        <v>286387516.80000007</v>
      </c>
      <c r="C198" s="102"/>
      <c r="D198" s="73">
        <f>SUM(D195:D197)</f>
        <v>128874382.56000003</v>
      </c>
    </row>
    <row r="200" spans="1:4" x14ac:dyDescent="0.25">
      <c r="A200" t="s">
        <v>87</v>
      </c>
    </row>
    <row r="201" spans="1:4" ht="30" x14ac:dyDescent="0.25">
      <c r="A201" s="12" t="s">
        <v>88</v>
      </c>
    </row>
    <row r="202" spans="1:4" ht="30" x14ac:dyDescent="0.25">
      <c r="A202" s="12" t="s">
        <v>93</v>
      </c>
      <c r="B202" t="s">
        <v>92</v>
      </c>
    </row>
    <row r="204" spans="1:4" ht="15.75" thickBot="1" x14ac:dyDescent="0.3">
      <c r="B204" s="41"/>
      <c r="C204" s="41"/>
      <c r="D204" s="41"/>
    </row>
    <row r="205" spans="1:4" ht="15.75" thickBot="1" x14ac:dyDescent="0.3">
      <c r="A205" s="3" t="s">
        <v>6</v>
      </c>
      <c r="B205" s="70" t="s">
        <v>89</v>
      </c>
      <c r="C205" s="70" t="s">
        <v>90</v>
      </c>
      <c r="D205" s="71" t="s">
        <v>91</v>
      </c>
    </row>
    <row r="206" spans="1:4" x14ac:dyDescent="0.25">
      <c r="A206" s="39">
        <v>2026</v>
      </c>
      <c r="B206" s="68">
        <f>B195*12%</f>
        <v>7900200.0000000009</v>
      </c>
      <c r="C206" s="68">
        <v>4000000</v>
      </c>
      <c r="D206" s="43">
        <f>B206+C206</f>
        <v>11900200</v>
      </c>
    </row>
    <row r="207" spans="1:4" x14ac:dyDescent="0.25">
      <c r="A207" s="39">
        <v>2027</v>
      </c>
      <c r="B207" s="68">
        <f>B196*10.5%</f>
        <v>9981902.700000003</v>
      </c>
      <c r="C207" s="68">
        <v>2500000</v>
      </c>
      <c r="D207" s="43">
        <f t="shared" ref="D207:D208" si="17">B207+C207</f>
        <v>12481902.700000003</v>
      </c>
    </row>
    <row r="208" spans="1:4" ht="15.75" thickBot="1" x14ac:dyDescent="0.3">
      <c r="A208" s="39">
        <v>2028</v>
      </c>
      <c r="B208" s="68">
        <f>B197*9%</f>
        <v>11293809.912000004</v>
      </c>
      <c r="C208" s="68">
        <v>2500000</v>
      </c>
      <c r="D208" s="43">
        <f t="shared" si="17"/>
        <v>13793809.912000004</v>
      </c>
    </row>
    <row r="209" spans="1:4" ht="15.75" thickBot="1" x14ac:dyDescent="0.3">
      <c r="A209" s="3" t="s">
        <v>12</v>
      </c>
      <c r="B209" s="72">
        <f>SUM(B206:B208)</f>
        <v>29175912.612000007</v>
      </c>
      <c r="C209" s="72">
        <f>SUM(C206:C208)</f>
        <v>9000000</v>
      </c>
      <c r="D209" s="73">
        <f>SUM(D206:D208)</f>
        <v>38175912.612000003</v>
      </c>
    </row>
    <row r="212" spans="1:4" ht="15.75" x14ac:dyDescent="0.25">
      <c r="A212" s="46" t="s">
        <v>94</v>
      </c>
    </row>
    <row r="214" spans="1:4" x14ac:dyDescent="0.25">
      <c r="A214" s="47" t="s">
        <v>95</v>
      </c>
      <c r="B214" s="2">
        <v>12000000</v>
      </c>
    </row>
    <row r="216" spans="1:4" x14ac:dyDescent="0.25">
      <c r="A216" s="12" t="s">
        <v>96</v>
      </c>
    </row>
    <row r="217" spans="1:4" ht="15.75" thickBot="1" x14ac:dyDescent="0.3"/>
    <row r="218" spans="1:4" ht="15.75" thickBot="1" x14ac:dyDescent="0.3">
      <c r="A218" s="3" t="s">
        <v>6</v>
      </c>
      <c r="B218" s="14" t="s">
        <v>97</v>
      </c>
      <c r="C218" s="15" t="s">
        <v>24</v>
      </c>
    </row>
    <row r="219" spans="1:4" x14ac:dyDescent="0.25">
      <c r="A219" s="39">
        <v>2026</v>
      </c>
      <c r="B219" s="16">
        <v>0.2</v>
      </c>
      <c r="C219" s="43">
        <f>B214*B219</f>
        <v>2400000</v>
      </c>
    </row>
    <row r="220" spans="1:4" x14ac:dyDescent="0.25">
      <c r="A220" s="39">
        <v>2027</v>
      </c>
      <c r="B220" s="16">
        <v>0.32</v>
      </c>
      <c r="C220" s="43">
        <f>B214*B220</f>
        <v>3840000</v>
      </c>
    </row>
    <row r="221" spans="1:4" ht="15.75" thickBot="1" x14ac:dyDescent="0.3">
      <c r="A221" s="39">
        <v>2028</v>
      </c>
      <c r="B221" s="16">
        <v>0.19</v>
      </c>
      <c r="C221" s="43">
        <f>B214*B221</f>
        <v>2280000</v>
      </c>
    </row>
    <row r="222" spans="1:4" ht="15.75" thickBot="1" x14ac:dyDescent="0.3">
      <c r="A222" s="3" t="s">
        <v>12</v>
      </c>
      <c r="B222" s="102">
        <f>SUM(B219:B221)</f>
        <v>0.71</v>
      </c>
      <c r="C222" s="73">
        <f>B214*B222</f>
        <v>8520000</v>
      </c>
    </row>
    <row r="226" spans="1:4" x14ac:dyDescent="0.25">
      <c r="A226" t="s">
        <v>26</v>
      </c>
    </row>
    <row r="228" spans="1:4" x14ac:dyDescent="0.25">
      <c r="A228" t="s">
        <v>184</v>
      </c>
    </row>
    <row r="229" spans="1:4" ht="15.75" thickBot="1" x14ac:dyDescent="0.3"/>
    <row r="230" spans="1:4" ht="15.75" thickBot="1" x14ac:dyDescent="0.3">
      <c r="A230" s="3" t="s">
        <v>6</v>
      </c>
      <c r="B230" s="14" t="s">
        <v>185</v>
      </c>
      <c r="C230" s="50" t="s">
        <v>186</v>
      </c>
      <c r="D230" s="14" t="s">
        <v>26</v>
      </c>
    </row>
    <row r="231" spans="1:4" x14ac:dyDescent="0.25">
      <c r="A231">
        <v>2026</v>
      </c>
      <c r="B231" s="68">
        <f>D206</f>
        <v>11900200</v>
      </c>
      <c r="C231" s="2">
        <f>D195</f>
        <v>29625750.000000004</v>
      </c>
      <c r="D231" s="68">
        <f>B231+C231</f>
        <v>41525950</v>
      </c>
    </row>
    <row r="232" spans="1:4" x14ac:dyDescent="0.25">
      <c r="A232">
        <v>2027</v>
      </c>
      <c r="B232" s="68">
        <f>D207</f>
        <v>12481902.700000003</v>
      </c>
      <c r="C232" s="2">
        <f>D196</f>
        <v>42779583.000000015</v>
      </c>
      <c r="D232" s="68">
        <f>B232+C232</f>
        <v>55261485.700000018</v>
      </c>
    </row>
    <row r="233" spans="1:4" ht="15.75" thickBot="1" x14ac:dyDescent="0.3">
      <c r="A233">
        <v>2028</v>
      </c>
      <c r="B233" s="68">
        <f>D208</f>
        <v>13793809.912000004</v>
      </c>
      <c r="C233" s="2">
        <f>D197</f>
        <v>56469049.560000025</v>
      </c>
      <c r="D233" s="68">
        <f>B233+C233</f>
        <v>70262859.472000033</v>
      </c>
    </row>
    <row r="234" spans="1:4" ht="15.75" thickBot="1" x14ac:dyDescent="0.3">
      <c r="A234" s="3" t="s">
        <v>12</v>
      </c>
      <c r="B234" s="72">
        <f>SUM(B231:B233)</f>
        <v>38175912.612000003</v>
      </c>
      <c r="C234" s="103">
        <f>SUM(C231:C233)</f>
        <v>128874382.56000003</v>
      </c>
      <c r="D234" s="72">
        <f>B234+C234</f>
        <v>167050295.17200005</v>
      </c>
    </row>
    <row r="238" spans="1:4" x14ac:dyDescent="0.25">
      <c r="A238" t="s">
        <v>98</v>
      </c>
    </row>
    <row r="239" spans="1:4" ht="30" x14ac:dyDescent="0.25">
      <c r="A239" s="47" t="s">
        <v>99</v>
      </c>
    </row>
    <row r="240" spans="1:4" ht="15.75" thickBot="1" x14ac:dyDescent="0.3">
      <c r="A240" s="47"/>
    </row>
    <row r="241" spans="1:4" ht="15.75" thickBot="1" x14ac:dyDescent="0.3">
      <c r="A241" s="3"/>
      <c r="B241" s="14">
        <v>2026</v>
      </c>
      <c r="C241" s="14">
        <v>2027</v>
      </c>
      <c r="D241" s="15">
        <v>2028</v>
      </c>
    </row>
    <row r="242" spans="1:4" x14ac:dyDescent="0.25">
      <c r="A242" s="39" t="s">
        <v>5</v>
      </c>
      <c r="B242" s="68">
        <f>D185</f>
        <v>65835000.000000007</v>
      </c>
      <c r="C242" s="68">
        <f>D186</f>
        <v>95065740.00000003</v>
      </c>
      <c r="D242" s="43">
        <f>D187</f>
        <v>125486776.80000006</v>
      </c>
    </row>
    <row r="243" spans="1:4" x14ac:dyDescent="0.25">
      <c r="A243" s="39" t="s">
        <v>16</v>
      </c>
      <c r="B243" s="68">
        <f>D195</f>
        <v>29625750.000000004</v>
      </c>
      <c r="C243" s="68">
        <f>D196</f>
        <v>42779583.000000015</v>
      </c>
      <c r="D243" s="43">
        <f>D197</f>
        <v>56469049.560000025</v>
      </c>
    </row>
    <row r="244" spans="1:4" x14ac:dyDescent="0.25">
      <c r="A244" t="s">
        <v>100</v>
      </c>
      <c r="B244" s="68">
        <f>D206</f>
        <v>11900200</v>
      </c>
      <c r="C244" s="68">
        <f>D207</f>
        <v>12481902.700000003</v>
      </c>
      <c r="D244" s="43">
        <f>D208</f>
        <v>13793809.912000004</v>
      </c>
    </row>
    <row r="245" spans="1:4" ht="15.75" thickBot="1" x14ac:dyDescent="0.3">
      <c r="A245" s="39" t="s">
        <v>24</v>
      </c>
      <c r="B245" s="68">
        <f>C219</f>
        <v>2400000</v>
      </c>
      <c r="C245" s="68">
        <f>C220</f>
        <v>3840000</v>
      </c>
      <c r="D245" s="43">
        <f>C221</f>
        <v>2280000</v>
      </c>
    </row>
    <row r="246" spans="1:4" ht="15.75" thickBot="1" x14ac:dyDescent="0.3">
      <c r="A246" s="3" t="s">
        <v>30</v>
      </c>
      <c r="B246" s="72">
        <f>B242-SUM(B243:B245)</f>
        <v>21909050.000000007</v>
      </c>
      <c r="C246" s="72">
        <f>C242-SUM(C243:C245)</f>
        <v>35964254.300000012</v>
      </c>
      <c r="D246" s="73">
        <f t="shared" ref="D246" si="18">D242-SUM(D243:D245)</f>
        <v>52943917.328000024</v>
      </c>
    </row>
    <row r="250" spans="1:4" x14ac:dyDescent="0.25">
      <c r="A250" t="s">
        <v>101</v>
      </c>
    </row>
    <row r="252" spans="1:4" x14ac:dyDescent="0.25">
      <c r="A252" t="s">
        <v>183</v>
      </c>
    </row>
    <row r="253" spans="1:4" x14ac:dyDescent="0.25">
      <c r="A253" t="s">
        <v>182</v>
      </c>
    </row>
    <row r="254" spans="1:4" x14ac:dyDescent="0.25">
      <c r="A254" t="s">
        <v>102</v>
      </c>
    </row>
    <row r="255" spans="1:4" ht="15.75" thickBot="1" x14ac:dyDescent="0.3"/>
    <row r="256" spans="1:4" ht="15.75" thickBot="1" x14ac:dyDescent="0.3">
      <c r="A256" s="3"/>
      <c r="B256" s="14">
        <v>2026</v>
      </c>
      <c r="C256" s="14">
        <v>2027</v>
      </c>
      <c r="D256" s="15">
        <v>2028</v>
      </c>
    </row>
    <row r="257" spans="1:4" x14ac:dyDescent="0.25">
      <c r="A257" s="39" t="s">
        <v>30</v>
      </c>
      <c r="B257" s="68">
        <f>B246</f>
        <v>21909050.000000007</v>
      </c>
      <c r="C257" s="68">
        <f>C246</f>
        <v>35964254.300000012</v>
      </c>
      <c r="D257" s="43">
        <f>D246</f>
        <v>52943917.328000024</v>
      </c>
    </row>
    <row r="258" spans="1:4" ht="15.75" thickBot="1" x14ac:dyDescent="0.3">
      <c r="A258" s="39" t="s">
        <v>34</v>
      </c>
      <c r="B258" s="68">
        <f>B257*21%</f>
        <v>4600900.5000000009</v>
      </c>
      <c r="C258" s="68">
        <f t="shared" ref="C258:D258" si="19">C257*21%</f>
        <v>7552493.4030000018</v>
      </c>
      <c r="D258" s="68">
        <f t="shared" si="19"/>
        <v>11118222.638880005</v>
      </c>
    </row>
    <row r="259" spans="1:4" ht="15.75" thickBot="1" x14ac:dyDescent="0.3">
      <c r="A259" s="3" t="s">
        <v>31</v>
      </c>
      <c r="B259" s="72">
        <f>B257-B258</f>
        <v>17308149.500000007</v>
      </c>
      <c r="C259" s="72">
        <f t="shared" ref="C259:D259" si="20">C257-C258</f>
        <v>28411760.897000011</v>
      </c>
      <c r="D259" s="72">
        <f t="shared" si="20"/>
        <v>41825694.689120017</v>
      </c>
    </row>
    <row r="262" spans="1:4" x14ac:dyDescent="0.25">
      <c r="A262" t="s">
        <v>103</v>
      </c>
    </row>
    <row r="264" spans="1:4" x14ac:dyDescent="0.25">
      <c r="A264" s="47" t="s">
        <v>120</v>
      </c>
    </row>
    <row r="265" spans="1:4" ht="15.75" thickBot="1" x14ac:dyDescent="0.3"/>
    <row r="266" spans="1:4" ht="15.75" thickBot="1" x14ac:dyDescent="0.3">
      <c r="A266" s="3" t="s">
        <v>6</v>
      </c>
      <c r="B266" s="14" t="s">
        <v>31</v>
      </c>
      <c r="C266" s="14" t="s">
        <v>24</v>
      </c>
      <c r="D266" s="15" t="s">
        <v>104</v>
      </c>
    </row>
    <row r="267" spans="1:4" x14ac:dyDescent="0.25">
      <c r="A267" s="39">
        <v>2026</v>
      </c>
      <c r="B267" s="68">
        <f>B259</f>
        <v>17308149.500000007</v>
      </c>
      <c r="C267" s="68">
        <f>B245</f>
        <v>2400000</v>
      </c>
      <c r="D267" s="43">
        <f>B267+C267</f>
        <v>19708149.500000007</v>
      </c>
    </row>
    <row r="268" spans="1:4" x14ac:dyDescent="0.25">
      <c r="A268" s="39">
        <v>2027</v>
      </c>
      <c r="B268" s="68">
        <f>C259</f>
        <v>28411760.897000011</v>
      </c>
      <c r="C268" s="68">
        <f>C245</f>
        <v>3840000</v>
      </c>
      <c r="D268" s="43">
        <f t="shared" ref="D268:D270" si="21">B268+C268</f>
        <v>32251760.897000011</v>
      </c>
    </row>
    <row r="269" spans="1:4" ht="15.75" thickBot="1" x14ac:dyDescent="0.3">
      <c r="A269" s="39">
        <v>2028</v>
      </c>
      <c r="B269" s="68">
        <f>D259</f>
        <v>41825694.689120017</v>
      </c>
      <c r="C269" s="68">
        <f>D245</f>
        <v>2280000</v>
      </c>
      <c r="D269" s="43">
        <f t="shared" si="21"/>
        <v>44105694.689120017</v>
      </c>
    </row>
    <row r="270" spans="1:4" ht="15.75" thickBot="1" x14ac:dyDescent="0.3">
      <c r="A270" s="3" t="s">
        <v>12</v>
      </c>
      <c r="B270" s="72">
        <f>SUM(B267:B268)</f>
        <v>45719910.397000015</v>
      </c>
      <c r="C270" s="72">
        <f>SUM(C267:C269)</f>
        <v>8520000</v>
      </c>
      <c r="D270" s="73">
        <f t="shared" si="21"/>
        <v>54239910.397000015</v>
      </c>
    </row>
    <row r="273" spans="1:4" ht="17.25" x14ac:dyDescent="0.3">
      <c r="A273" s="48" t="s">
        <v>105</v>
      </c>
    </row>
    <row r="274" spans="1:4" x14ac:dyDescent="0.25">
      <c r="D274" s="2"/>
    </row>
    <row r="275" spans="1:4" ht="30" x14ac:dyDescent="0.25">
      <c r="A275" s="47" t="s">
        <v>106</v>
      </c>
    </row>
    <row r="276" spans="1:4" ht="30" x14ac:dyDescent="0.25">
      <c r="A276" s="47" t="s">
        <v>107</v>
      </c>
    </row>
    <row r="277" spans="1:4" ht="30" x14ac:dyDescent="0.25">
      <c r="A277" s="47" t="s">
        <v>108</v>
      </c>
      <c r="B277" t="s">
        <v>114</v>
      </c>
      <c r="C277" s="2">
        <f>12000000-C270</f>
        <v>3480000</v>
      </c>
    </row>
    <row r="278" spans="1:4" ht="30" x14ac:dyDescent="0.25">
      <c r="A278" s="47" t="s">
        <v>109</v>
      </c>
    </row>
    <row r="279" spans="1:4" ht="30" x14ac:dyDescent="0.25">
      <c r="A279" s="47" t="s">
        <v>110</v>
      </c>
      <c r="B279" s="2" t="s">
        <v>113</v>
      </c>
      <c r="C279" t="s">
        <v>111</v>
      </c>
    </row>
    <row r="280" spans="1:4" x14ac:dyDescent="0.25">
      <c r="A280" s="47" t="s">
        <v>112</v>
      </c>
    </row>
    <row r="281" spans="1:4" x14ac:dyDescent="0.25">
      <c r="A281" s="47" t="s">
        <v>115</v>
      </c>
    </row>
    <row r="282" spans="1:4" ht="45" x14ac:dyDescent="0.25">
      <c r="A282" s="47" t="s">
        <v>116</v>
      </c>
      <c r="B282" t="s">
        <v>117</v>
      </c>
      <c r="C282" s="2">
        <f>C277+18000000</f>
        <v>21480000</v>
      </c>
    </row>
    <row r="287" spans="1:4" x14ac:dyDescent="0.25">
      <c r="A287" t="s">
        <v>118</v>
      </c>
    </row>
    <row r="288" spans="1:4" ht="30" x14ac:dyDescent="0.25">
      <c r="A288" s="12" t="s">
        <v>119</v>
      </c>
    </row>
    <row r="290" spans="1:3" ht="15.75" thickBot="1" x14ac:dyDescent="0.3"/>
    <row r="291" spans="1:3" ht="15.75" thickBot="1" x14ac:dyDescent="0.3">
      <c r="A291" s="3" t="s">
        <v>6</v>
      </c>
      <c r="B291" s="14" t="s">
        <v>104</v>
      </c>
    </row>
    <row r="292" spans="1:3" x14ac:dyDescent="0.25">
      <c r="A292" s="39">
        <v>0</v>
      </c>
      <c r="B292" s="74">
        <v>-90000000</v>
      </c>
    </row>
    <row r="293" spans="1:3" x14ac:dyDescent="0.25">
      <c r="A293" s="39">
        <v>2026</v>
      </c>
      <c r="B293" s="68">
        <f>D267</f>
        <v>19708149.500000007</v>
      </c>
    </row>
    <row r="294" spans="1:3" x14ac:dyDescent="0.25">
      <c r="A294" s="39">
        <v>2027</v>
      </c>
      <c r="B294" s="68">
        <f>D268</f>
        <v>32251760.897000011</v>
      </c>
    </row>
    <row r="295" spans="1:3" ht="15.75" thickBot="1" x14ac:dyDescent="0.3">
      <c r="A295" s="40">
        <v>2028</v>
      </c>
      <c r="B295" s="69">
        <f>D269+C282</f>
        <v>65585694.689120017</v>
      </c>
      <c r="C295" t="s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FAC9-37A0-5246-8FC5-10AF32056973}">
  <dimension ref="A1:G116"/>
  <sheetViews>
    <sheetView topLeftCell="A82" zoomScale="118" zoomScaleNormal="118" workbookViewId="0">
      <selection activeCell="F87" sqref="F87"/>
    </sheetView>
  </sheetViews>
  <sheetFormatPr defaultColWidth="11.42578125" defaultRowHeight="15" x14ac:dyDescent="0.25"/>
  <cols>
    <col min="1" max="1" width="49.42578125" bestFit="1" customWidth="1"/>
    <col min="2" max="2" width="25.140625" bestFit="1" customWidth="1"/>
    <col min="3" max="3" width="21.42578125" bestFit="1" customWidth="1"/>
    <col min="4" max="5" width="15.7109375" bestFit="1" customWidth="1"/>
  </cols>
  <sheetData>
    <row r="1" spans="1:5" ht="21" x14ac:dyDescent="0.35">
      <c r="A1" s="60" t="s">
        <v>65</v>
      </c>
    </row>
    <row r="2" spans="1:5" ht="21" x14ac:dyDescent="0.35">
      <c r="A2" s="58" t="s">
        <v>123</v>
      </c>
    </row>
    <row r="4" spans="1:5" ht="23.25" x14ac:dyDescent="0.35">
      <c r="A4" s="59" t="s">
        <v>140</v>
      </c>
    </row>
    <row r="5" spans="1:5" ht="15.75" thickBot="1" x14ac:dyDescent="0.3"/>
    <row r="6" spans="1:5" ht="15.75" thickBot="1" x14ac:dyDescent="0.3">
      <c r="A6" s="3" t="s">
        <v>6</v>
      </c>
      <c r="B6" s="14" t="s">
        <v>104</v>
      </c>
      <c r="C6" s="14" t="s">
        <v>124</v>
      </c>
    </row>
    <row r="7" spans="1:5" x14ac:dyDescent="0.25">
      <c r="A7" s="39">
        <v>0</v>
      </c>
      <c r="B7" s="65">
        <v>-210000000</v>
      </c>
      <c r="C7" s="51"/>
    </row>
    <row r="8" spans="1:5" x14ac:dyDescent="0.25">
      <c r="A8" s="39">
        <v>2026</v>
      </c>
      <c r="B8" s="51">
        <f>'Initial Investment &amp; Cashflows'!B150</f>
        <v>18701190</v>
      </c>
      <c r="C8" s="51">
        <f>C7+B8</f>
        <v>18701190</v>
      </c>
      <c r="E8" s="81"/>
    </row>
    <row r="9" spans="1:5" x14ac:dyDescent="0.25">
      <c r="A9" s="39">
        <v>2027</v>
      </c>
      <c r="B9" s="51">
        <f>'Initial Investment &amp; Cashflows'!B151</f>
        <v>58106664</v>
      </c>
      <c r="C9" s="51">
        <f>C8+B9</f>
        <v>76807854</v>
      </c>
    </row>
    <row r="10" spans="1:5" x14ac:dyDescent="0.25">
      <c r="A10" s="39">
        <v>2028</v>
      </c>
      <c r="B10" s="51">
        <f>'Initial Investment &amp; Cashflows'!B152</f>
        <v>79854520</v>
      </c>
      <c r="C10" s="51">
        <f t="shared" ref="C10:C13" si="0">C9+B10</f>
        <v>156662374</v>
      </c>
    </row>
    <row r="11" spans="1:5" x14ac:dyDescent="0.25">
      <c r="A11" s="39">
        <v>2029</v>
      </c>
      <c r="B11" s="51">
        <f>'Initial Investment &amp; Cashflows'!B153</f>
        <v>110366970</v>
      </c>
      <c r="C11" s="51">
        <f t="shared" si="0"/>
        <v>267029344</v>
      </c>
    </row>
    <row r="12" spans="1:5" x14ac:dyDescent="0.25">
      <c r="A12" s="39">
        <v>2030</v>
      </c>
      <c r="B12" s="51">
        <f>'Initial Investment &amp; Cashflows'!B154</f>
        <v>85994960</v>
      </c>
      <c r="C12" s="51">
        <f t="shared" si="0"/>
        <v>353024304</v>
      </c>
    </row>
    <row r="13" spans="1:5" ht="15.75" thickBot="1" x14ac:dyDescent="0.3">
      <c r="A13" s="40">
        <v>2031</v>
      </c>
      <c r="B13" s="52">
        <f>'Initial Investment &amp; Cashflows'!B155</f>
        <v>169272650</v>
      </c>
      <c r="C13" s="52">
        <f t="shared" si="0"/>
        <v>522296954</v>
      </c>
    </row>
    <row r="15" spans="1:5" ht="30" x14ac:dyDescent="0.25">
      <c r="A15" s="12" t="s">
        <v>193</v>
      </c>
      <c r="B15" s="64">
        <f>((210000000-C10)/B11)+3</f>
        <v>3.4832752588931273</v>
      </c>
    </row>
    <row r="17" spans="1:5" x14ac:dyDescent="0.25">
      <c r="A17" t="s">
        <v>194</v>
      </c>
    </row>
    <row r="20" spans="1:5" ht="23.25" x14ac:dyDescent="0.35">
      <c r="A20" s="59" t="s">
        <v>125</v>
      </c>
    </row>
    <row r="21" spans="1:5" ht="45" x14ac:dyDescent="0.25">
      <c r="A21" t="s">
        <v>130</v>
      </c>
      <c r="B21" s="12" t="s">
        <v>131</v>
      </c>
    </row>
    <row r="22" spans="1:5" x14ac:dyDescent="0.25">
      <c r="A22" t="s">
        <v>143</v>
      </c>
      <c r="B22" s="61">
        <v>0.1</v>
      </c>
    </row>
    <row r="23" spans="1:5" ht="15.75" thickBot="1" x14ac:dyDescent="0.3"/>
    <row r="24" spans="1:5" ht="15.75" thickBot="1" x14ac:dyDescent="0.3">
      <c r="A24" s="3"/>
      <c r="B24" s="107" t="s">
        <v>104</v>
      </c>
      <c r="C24" s="108"/>
      <c r="D24" s="109" t="s">
        <v>128</v>
      </c>
      <c r="E24" s="108"/>
    </row>
    <row r="25" spans="1:5" ht="15.75" thickBot="1" x14ac:dyDescent="0.3">
      <c r="A25" s="3" t="s">
        <v>6</v>
      </c>
      <c r="B25" s="14" t="s">
        <v>126</v>
      </c>
      <c r="C25" s="14" t="s">
        <v>127</v>
      </c>
      <c r="D25" s="50" t="s">
        <v>126</v>
      </c>
      <c r="E25" s="14" t="s">
        <v>127</v>
      </c>
    </row>
    <row r="26" spans="1:5" x14ac:dyDescent="0.25">
      <c r="A26" s="39">
        <v>2026</v>
      </c>
      <c r="B26" s="54">
        <f>B8</f>
        <v>18701190</v>
      </c>
      <c r="C26" s="54">
        <f>B26/(1+10%)^1</f>
        <v>17001081.818181816</v>
      </c>
      <c r="D26" s="49">
        <f>B26</f>
        <v>18701190</v>
      </c>
      <c r="E26" s="54">
        <f>C26</f>
        <v>17001081.818181816</v>
      </c>
    </row>
    <row r="27" spans="1:5" x14ac:dyDescent="0.25">
      <c r="A27" s="39">
        <v>2027</v>
      </c>
      <c r="B27" s="54">
        <f>B9</f>
        <v>58106664</v>
      </c>
      <c r="C27" s="54">
        <f>B27/(1+10%)^2</f>
        <v>48022036.36363636</v>
      </c>
      <c r="D27" s="49">
        <f>D26+B27</f>
        <v>76807854</v>
      </c>
      <c r="E27" s="54">
        <f>E26+C27</f>
        <v>65023118.181818172</v>
      </c>
    </row>
    <row r="28" spans="1:5" x14ac:dyDescent="0.25">
      <c r="A28" s="39">
        <v>2028</v>
      </c>
      <c r="B28" s="54">
        <f>B10</f>
        <v>79854520</v>
      </c>
      <c r="C28" s="54">
        <f>B28/(1+10%)^3</f>
        <v>59995882.794891044</v>
      </c>
      <c r="D28" s="49">
        <f t="shared" ref="D28:D31" si="1">D27+B28</f>
        <v>156662374</v>
      </c>
      <c r="E28" s="54">
        <f t="shared" ref="E28:E31" si="2">E27+C28</f>
        <v>125019000.97670922</v>
      </c>
    </row>
    <row r="29" spans="1:5" x14ac:dyDescent="0.25">
      <c r="A29" s="39">
        <v>2029</v>
      </c>
      <c r="B29" s="54">
        <f t="shared" ref="B29:B31" si="3">B11</f>
        <v>110366970</v>
      </c>
      <c r="C29" s="54">
        <f>B29/(1+10%)^4</f>
        <v>75382125.537873074</v>
      </c>
      <c r="D29" s="49">
        <f t="shared" si="1"/>
        <v>267029344</v>
      </c>
      <c r="E29" s="54">
        <f t="shared" si="2"/>
        <v>200401126.51458228</v>
      </c>
    </row>
    <row r="30" spans="1:5" x14ac:dyDescent="0.25">
      <c r="A30" s="39">
        <v>2030</v>
      </c>
      <c r="B30" s="54">
        <f t="shared" si="3"/>
        <v>85994960</v>
      </c>
      <c r="C30" s="54">
        <f>B30/(1+10%)^5</f>
        <v>53396104.339619108</v>
      </c>
      <c r="D30" s="49">
        <f t="shared" si="1"/>
        <v>353024304</v>
      </c>
      <c r="E30" s="54">
        <f t="shared" si="2"/>
        <v>253797230.85420138</v>
      </c>
    </row>
    <row r="31" spans="1:5" ht="15.75" thickBot="1" x14ac:dyDescent="0.3">
      <c r="A31" s="40">
        <v>2031</v>
      </c>
      <c r="B31" s="56">
        <f t="shared" si="3"/>
        <v>169272650</v>
      </c>
      <c r="C31" s="56">
        <f>B31/(1+10%)^6</f>
        <v>95549997.996117502</v>
      </c>
      <c r="D31" s="57">
        <f t="shared" si="1"/>
        <v>522296954</v>
      </c>
      <c r="E31" s="56">
        <f t="shared" si="2"/>
        <v>349347228.85031891</v>
      </c>
    </row>
    <row r="35" spans="1:3" ht="45" x14ac:dyDescent="0.25">
      <c r="A35" t="s">
        <v>129</v>
      </c>
      <c r="B35" s="12" t="s">
        <v>195</v>
      </c>
    </row>
    <row r="36" spans="1:3" x14ac:dyDescent="0.25">
      <c r="A36" t="s">
        <v>129</v>
      </c>
      <c r="B36" s="64">
        <f>((210000000-E29)/C30)+4</f>
        <v>4.179767299583605</v>
      </c>
      <c r="C36" t="s">
        <v>196</v>
      </c>
    </row>
    <row r="40" spans="1:3" ht="23.25" x14ac:dyDescent="0.35">
      <c r="A40" s="59" t="s">
        <v>132</v>
      </c>
    </row>
    <row r="41" spans="1:3" x14ac:dyDescent="0.25">
      <c r="A41" t="s">
        <v>133</v>
      </c>
      <c r="B41" s="49">
        <f>E31</f>
        <v>349347228.85031891</v>
      </c>
    </row>
    <row r="42" spans="1:3" x14ac:dyDescent="0.25">
      <c r="A42" t="s">
        <v>134</v>
      </c>
      <c r="B42" s="66">
        <v>210000000</v>
      </c>
    </row>
    <row r="44" spans="1:3" ht="30" x14ac:dyDescent="0.25">
      <c r="A44" s="12" t="s">
        <v>135</v>
      </c>
      <c r="B44" s="12" t="s">
        <v>197</v>
      </c>
    </row>
    <row r="45" spans="1:3" x14ac:dyDescent="0.25">
      <c r="A45" t="s">
        <v>136</v>
      </c>
      <c r="B45" s="49">
        <f>E31-B42</f>
        <v>139347228.85031891</v>
      </c>
      <c r="C45" t="s">
        <v>137</v>
      </c>
    </row>
    <row r="48" spans="1:3" ht="23.25" x14ac:dyDescent="0.35">
      <c r="A48" s="59" t="s">
        <v>138</v>
      </c>
    </row>
    <row r="49" spans="1:2" x14ac:dyDescent="0.25">
      <c r="A49" t="s">
        <v>133</v>
      </c>
      <c r="B49" s="49">
        <f>B41</f>
        <v>349347228.85031891</v>
      </c>
    </row>
    <row r="50" spans="1:2" x14ac:dyDescent="0.25">
      <c r="A50" t="s">
        <v>148</v>
      </c>
      <c r="B50" s="66">
        <f>B42</f>
        <v>210000000</v>
      </c>
    </row>
    <row r="51" spans="1:2" ht="30" x14ac:dyDescent="0.25">
      <c r="A51" s="12" t="s">
        <v>139</v>
      </c>
      <c r="B51" t="s">
        <v>147</v>
      </c>
    </row>
    <row r="52" spans="1:2" x14ac:dyDescent="0.25">
      <c r="A52" t="s">
        <v>142</v>
      </c>
      <c r="B52" s="64">
        <f>B49/B50</f>
        <v>1.6635582326205662</v>
      </c>
    </row>
    <row r="55" spans="1:2" ht="26.25" x14ac:dyDescent="0.4">
      <c r="A55" s="62" t="s">
        <v>144</v>
      </c>
    </row>
    <row r="56" spans="1:2" x14ac:dyDescent="0.25">
      <c r="A56" t="s">
        <v>148</v>
      </c>
      <c r="B56" s="66">
        <f>B50</f>
        <v>210000000</v>
      </c>
    </row>
    <row r="57" spans="1:2" ht="30" x14ac:dyDescent="0.25">
      <c r="A57" s="12" t="s">
        <v>149</v>
      </c>
    </row>
    <row r="58" spans="1:2" x14ac:dyDescent="0.25">
      <c r="A58" t="s">
        <v>150</v>
      </c>
      <c r="B58" s="67">
        <f>IRR(B7:B13)</f>
        <v>0.25124355443292901</v>
      </c>
    </row>
    <row r="67" spans="1:7" s="37" customFormat="1" ht="9.75" customHeight="1" x14ac:dyDescent="0.25"/>
    <row r="69" spans="1:7" ht="21" x14ac:dyDescent="0.35">
      <c r="A69" s="60" t="s">
        <v>67</v>
      </c>
    </row>
    <row r="70" spans="1:7" ht="21" x14ac:dyDescent="0.35">
      <c r="A70" s="58" t="s">
        <v>141</v>
      </c>
    </row>
    <row r="72" spans="1:7" ht="23.25" x14ac:dyDescent="0.35">
      <c r="A72" s="59" t="s">
        <v>140</v>
      </c>
    </row>
    <row r="73" spans="1:7" ht="15.75" thickBot="1" x14ac:dyDescent="0.3"/>
    <row r="74" spans="1:7" ht="15.75" thickBot="1" x14ac:dyDescent="0.3">
      <c r="A74" s="3" t="s">
        <v>6</v>
      </c>
      <c r="B74" s="14" t="s">
        <v>104</v>
      </c>
      <c r="C74" s="14" t="s">
        <v>124</v>
      </c>
    </row>
    <row r="75" spans="1:7" x14ac:dyDescent="0.25">
      <c r="A75" s="39">
        <v>0</v>
      </c>
      <c r="B75" s="65">
        <v>-90000000</v>
      </c>
      <c r="C75" s="51"/>
    </row>
    <row r="76" spans="1:7" x14ac:dyDescent="0.25">
      <c r="A76" s="39">
        <v>2026</v>
      </c>
      <c r="B76" s="51">
        <f>'Initial Investment &amp; Cashflows'!B293</f>
        <v>19708149.500000007</v>
      </c>
      <c r="C76" s="51">
        <f>C75+B76</f>
        <v>19708149.500000007</v>
      </c>
    </row>
    <row r="77" spans="1:7" x14ac:dyDescent="0.25">
      <c r="A77" s="39">
        <v>2027</v>
      </c>
      <c r="B77" s="51">
        <f>'Initial Investment &amp; Cashflows'!B294</f>
        <v>32251760.897000011</v>
      </c>
      <c r="C77" s="51">
        <f>C76+B77</f>
        <v>51959910.397000015</v>
      </c>
    </row>
    <row r="78" spans="1:7" ht="15.75" thickBot="1" x14ac:dyDescent="0.3">
      <c r="A78" s="40">
        <v>2028</v>
      </c>
      <c r="B78" s="52">
        <f>'Initial Investment &amp; Cashflows'!B295</f>
        <v>65585694.689120017</v>
      </c>
      <c r="C78" s="52">
        <f t="shared" ref="C78" si="4">C77+B78</f>
        <v>117545605.08612004</v>
      </c>
      <c r="G78" s="42"/>
    </row>
    <row r="80" spans="1:7" ht="30" x14ac:dyDescent="0.25">
      <c r="A80" s="12" t="s">
        <v>188</v>
      </c>
      <c r="B80" s="64">
        <f>((90000000-C77)/B78)+2</f>
        <v>2.5800058958483585</v>
      </c>
    </row>
    <row r="82" spans="1:5" x14ac:dyDescent="0.25">
      <c r="A82" t="s">
        <v>189</v>
      </c>
    </row>
    <row r="85" spans="1:5" ht="23.25" x14ac:dyDescent="0.35">
      <c r="A85" s="59" t="s">
        <v>125</v>
      </c>
    </row>
    <row r="86" spans="1:5" ht="45" x14ac:dyDescent="0.25">
      <c r="A86" t="s">
        <v>130</v>
      </c>
      <c r="B86" s="12" t="s">
        <v>131</v>
      </c>
    </row>
    <row r="87" spans="1:5" ht="15.75" thickBot="1" x14ac:dyDescent="0.3"/>
    <row r="88" spans="1:5" ht="15.75" thickBot="1" x14ac:dyDescent="0.3">
      <c r="A88" s="3"/>
      <c r="B88" s="107" t="s">
        <v>104</v>
      </c>
      <c r="C88" s="108"/>
      <c r="D88" s="109" t="s">
        <v>128</v>
      </c>
      <c r="E88" s="108"/>
    </row>
    <row r="89" spans="1:5" ht="15.75" thickBot="1" x14ac:dyDescent="0.3">
      <c r="A89" s="3" t="s">
        <v>6</v>
      </c>
      <c r="B89" s="3" t="s">
        <v>126</v>
      </c>
      <c r="C89" s="14" t="s">
        <v>127</v>
      </c>
      <c r="D89" s="50" t="s">
        <v>126</v>
      </c>
      <c r="E89" s="14" t="s">
        <v>127</v>
      </c>
    </row>
    <row r="90" spans="1:5" x14ac:dyDescent="0.25">
      <c r="A90" s="39">
        <v>2026</v>
      </c>
      <c r="B90" s="53">
        <f>'Initial Investment &amp; Cashflows'!B293</f>
        <v>19708149.500000007</v>
      </c>
      <c r="C90" s="54">
        <f>B90/(1+12%)^1</f>
        <v>17596562.053571433</v>
      </c>
      <c r="D90" s="49">
        <f>B90</f>
        <v>19708149.500000007</v>
      </c>
      <c r="E90" s="54">
        <f>C90</f>
        <v>17596562.053571433</v>
      </c>
    </row>
    <row r="91" spans="1:5" x14ac:dyDescent="0.25">
      <c r="A91" s="39">
        <v>2027</v>
      </c>
      <c r="B91" s="53">
        <f>'Initial Investment &amp; Cashflows'!B294</f>
        <v>32251760.897000011</v>
      </c>
      <c r="C91" s="54">
        <f>B91/(1+12%)^2</f>
        <v>25710906.32732781</v>
      </c>
      <c r="D91" s="49">
        <f>D90+B91</f>
        <v>51959910.397000015</v>
      </c>
      <c r="E91" s="54">
        <f>E90+C91</f>
        <v>43307468.380899243</v>
      </c>
    </row>
    <row r="92" spans="1:5" ht="15.75" thickBot="1" x14ac:dyDescent="0.3">
      <c r="A92" s="40">
        <v>2028</v>
      </c>
      <c r="B92" s="55">
        <f>'Initial Investment &amp; Cashflows'!B295</f>
        <v>65585694.689120017</v>
      </c>
      <c r="C92" s="56">
        <f>B92/(1+12%)^3</f>
        <v>46682602.01883655</v>
      </c>
      <c r="D92" s="57">
        <f t="shared" ref="D92" si="5">D91+B92</f>
        <v>117545605.08612004</v>
      </c>
      <c r="E92" s="56">
        <f>E91+C92</f>
        <v>89990070.399735793</v>
      </c>
    </row>
    <row r="94" spans="1:5" ht="45" x14ac:dyDescent="0.25">
      <c r="A94" t="s">
        <v>129</v>
      </c>
      <c r="B94" s="12" t="s">
        <v>190</v>
      </c>
    </row>
    <row r="95" spans="1:5" x14ac:dyDescent="0.25">
      <c r="A95" t="s">
        <v>129</v>
      </c>
      <c r="B95" s="64">
        <f>((90000000-E91)/C92)+2</f>
        <v>3.0002127045159179</v>
      </c>
      <c r="C95" t="s">
        <v>191</v>
      </c>
    </row>
    <row r="98" spans="1:3" ht="23.25" x14ac:dyDescent="0.35">
      <c r="A98" s="59" t="s">
        <v>132</v>
      </c>
    </row>
    <row r="99" spans="1:3" x14ac:dyDescent="0.25">
      <c r="A99" t="s">
        <v>133</v>
      </c>
      <c r="B99" s="49">
        <f>E92</f>
        <v>89990070.399735793</v>
      </c>
    </row>
    <row r="100" spans="1:3" x14ac:dyDescent="0.25">
      <c r="A100" t="s">
        <v>134</v>
      </c>
      <c r="B100" s="66">
        <v>90000000</v>
      </c>
    </row>
    <row r="102" spans="1:3" ht="30" x14ac:dyDescent="0.25">
      <c r="A102" s="12" t="s">
        <v>135</v>
      </c>
      <c r="B102" s="12" t="s">
        <v>187</v>
      </c>
    </row>
    <row r="103" spans="1:3" x14ac:dyDescent="0.25">
      <c r="A103" t="s">
        <v>136</v>
      </c>
      <c r="B103" s="49">
        <f>B99-B100</f>
        <v>-9929.6002642065287</v>
      </c>
      <c r="C103" t="s">
        <v>151</v>
      </c>
    </row>
    <row r="106" spans="1:3" ht="23.25" x14ac:dyDescent="0.35">
      <c r="A106" s="59" t="s">
        <v>138</v>
      </c>
    </row>
    <row r="107" spans="1:3" x14ac:dyDescent="0.25">
      <c r="A107" t="s">
        <v>133</v>
      </c>
      <c r="B107" s="49">
        <f>E92</f>
        <v>89990070.399735793</v>
      </c>
    </row>
    <row r="108" spans="1:3" x14ac:dyDescent="0.25">
      <c r="A108" t="s">
        <v>134</v>
      </c>
      <c r="B108" s="66">
        <v>90000000</v>
      </c>
    </row>
    <row r="109" spans="1:3" ht="30" x14ac:dyDescent="0.25">
      <c r="A109" s="12" t="s">
        <v>139</v>
      </c>
      <c r="B109" t="s">
        <v>192</v>
      </c>
    </row>
    <row r="110" spans="1:3" x14ac:dyDescent="0.25">
      <c r="A110" t="s">
        <v>142</v>
      </c>
      <c r="B110" s="64">
        <f>B107/B108</f>
        <v>0.9998896711081755</v>
      </c>
    </row>
    <row r="113" spans="1:2" ht="26.25" x14ac:dyDescent="0.4">
      <c r="A113" s="62" t="s">
        <v>144</v>
      </c>
    </row>
    <row r="114" spans="1:2" x14ac:dyDescent="0.25">
      <c r="A114" t="s">
        <v>148</v>
      </c>
      <c r="B114" s="66">
        <f>B108</f>
        <v>90000000</v>
      </c>
    </row>
    <row r="115" spans="1:2" ht="30" x14ac:dyDescent="0.25">
      <c r="A115" s="12" t="s">
        <v>149</v>
      </c>
    </row>
    <row r="116" spans="1:2" x14ac:dyDescent="0.25">
      <c r="A116" t="s">
        <v>150</v>
      </c>
      <c r="B116" s="67">
        <f>IRR(B75:B78)</f>
        <v>0.11994681011839137</v>
      </c>
    </row>
  </sheetData>
  <mergeCells count="4">
    <mergeCell ref="B24:C24"/>
    <mergeCell ref="D24:E24"/>
    <mergeCell ref="B88:C88"/>
    <mergeCell ref="D88:E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B089-E698-43AA-A996-ABB1F986FC5C}">
  <dimension ref="A1:C53"/>
  <sheetViews>
    <sheetView tabSelected="1" topLeftCell="A12" zoomScale="123" zoomScaleNormal="145" workbookViewId="0">
      <selection activeCell="B4" sqref="B4"/>
    </sheetView>
  </sheetViews>
  <sheetFormatPr defaultRowHeight="15" x14ac:dyDescent="0.25"/>
  <cols>
    <col min="1" max="1" width="41.42578125" bestFit="1" customWidth="1"/>
    <col min="2" max="2" width="23.28515625" customWidth="1"/>
    <col min="3" max="3" width="14.42578125" bestFit="1" customWidth="1"/>
  </cols>
  <sheetData>
    <row r="1" spans="1:3" ht="50.25" customHeight="1" x14ac:dyDescent="0.4">
      <c r="A1" s="98" t="s">
        <v>156</v>
      </c>
    </row>
    <row r="3" spans="1:3" ht="27" customHeight="1" x14ac:dyDescent="0.35">
      <c r="A3" s="93" t="s">
        <v>157</v>
      </c>
    </row>
    <row r="4" spans="1:3" x14ac:dyDescent="0.25">
      <c r="A4" s="97" t="s">
        <v>158</v>
      </c>
      <c r="B4" s="96">
        <f>B8*B10+B9*B14*(1-B17)</f>
        <v>8.8447619047619053E-2</v>
      </c>
    </row>
    <row r="5" spans="1:3" x14ac:dyDescent="0.25">
      <c r="A5" t="s">
        <v>159</v>
      </c>
      <c r="B5" s="2">
        <v>21840000000</v>
      </c>
    </row>
    <row r="6" spans="1:3" x14ac:dyDescent="0.25">
      <c r="A6" t="s">
        <v>160</v>
      </c>
      <c r="B6" s="2">
        <v>20080000000</v>
      </c>
      <c r="C6" s="94"/>
    </row>
    <row r="7" spans="1:3" x14ac:dyDescent="0.25">
      <c r="A7" t="s">
        <v>161</v>
      </c>
      <c r="B7" s="2">
        <v>1760000000</v>
      </c>
    </row>
    <row r="8" spans="1:3" x14ac:dyDescent="0.25">
      <c r="A8" t="s">
        <v>164</v>
      </c>
      <c r="B8" s="95">
        <f>B6/B5</f>
        <v>0.91941391941391937</v>
      </c>
    </row>
    <row r="9" spans="1:3" x14ac:dyDescent="0.25">
      <c r="A9" t="s">
        <v>165</v>
      </c>
      <c r="B9" s="95">
        <f>B7/B5</f>
        <v>8.0586080586080591E-2</v>
      </c>
    </row>
    <row r="10" spans="1:3" x14ac:dyDescent="0.25">
      <c r="A10" s="97" t="s">
        <v>162</v>
      </c>
      <c r="B10" s="96">
        <f>B11+B12*(B13)</f>
        <v>9.6200000000000008E-2</v>
      </c>
    </row>
    <row r="11" spans="1:3" x14ac:dyDescent="0.25">
      <c r="A11" t="s">
        <v>166</v>
      </c>
      <c r="B11" s="67">
        <v>4.0099999999999997E-2</v>
      </c>
    </row>
    <row r="12" spans="1:3" x14ac:dyDescent="0.25">
      <c r="A12" t="s">
        <v>167</v>
      </c>
      <c r="B12">
        <v>1.02</v>
      </c>
    </row>
    <row r="13" spans="1:3" x14ac:dyDescent="0.25">
      <c r="A13" t="s">
        <v>168</v>
      </c>
      <c r="B13" s="67">
        <v>5.5E-2</v>
      </c>
    </row>
    <row r="14" spans="1:3" x14ac:dyDescent="0.25">
      <c r="A14" s="97" t="s">
        <v>163</v>
      </c>
      <c r="B14" s="96">
        <f>B15/B16</f>
        <v>0</v>
      </c>
    </row>
    <row r="15" spans="1:3" x14ac:dyDescent="0.25">
      <c r="A15" t="s">
        <v>169</v>
      </c>
      <c r="B15" s="2">
        <v>0</v>
      </c>
    </row>
    <row r="16" spans="1:3" x14ac:dyDescent="0.25">
      <c r="A16" t="s">
        <v>170</v>
      </c>
      <c r="B16" s="2">
        <v>1760000000</v>
      </c>
    </row>
    <row r="17" spans="1:2" x14ac:dyDescent="0.25">
      <c r="A17" t="s">
        <v>171</v>
      </c>
      <c r="B17" s="67">
        <v>0.30499999999999999</v>
      </c>
    </row>
    <row r="19" spans="1:2" s="37" customFormat="1" x14ac:dyDescent="0.25"/>
    <row r="21" spans="1:2" ht="23.25" x14ac:dyDescent="0.35">
      <c r="A21" s="93" t="s">
        <v>172</v>
      </c>
    </row>
    <row r="22" spans="1:2" x14ac:dyDescent="0.25">
      <c r="A22" s="97" t="s">
        <v>158</v>
      </c>
      <c r="B22" s="99">
        <f>B26*B28+B27*B32*(1-B35)</f>
        <v>0.1033098901098901</v>
      </c>
    </row>
    <row r="23" spans="1:2" ht="30" customHeight="1" x14ac:dyDescent="0.25">
      <c r="A23" s="12" t="s">
        <v>173</v>
      </c>
      <c r="B23" s="2">
        <f>B24+B25</f>
        <v>210000000</v>
      </c>
    </row>
    <row r="24" spans="1:2" x14ac:dyDescent="0.25">
      <c r="A24" t="s">
        <v>160</v>
      </c>
      <c r="B24" s="101">
        <f>B26*'Initial Investment &amp; Cashflows'!B15</f>
        <v>193076923.07692307</v>
      </c>
    </row>
    <row r="25" spans="1:2" x14ac:dyDescent="0.25">
      <c r="A25" t="s">
        <v>161</v>
      </c>
      <c r="B25" s="101">
        <f>B27*'Initial Investment &amp; Cashflows'!B15</f>
        <v>16923076.923076924</v>
      </c>
    </row>
    <row r="26" spans="1:2" x14ac:dyDescent="0.25">
      <c r="A26" t="s">
        <v>164</v>
      </c>
      <c r="B26" s="95">
        <f>B8</f>
        <v>0.91941391941391937</v>
      </c>
    </row>
    <row r="27" spans="1:2" x14ac:dyDescent="0.25">
      <c r="A27" t="s">
        <v>165</v>
      </c>
      <c r="B27" s="95">
        <f>B9</f>
        <v>8.0586080586080591E-2</v>
      </c>
    </row>
    <row r="28" spans="1:2" x14ac:dyDescent="0.25">
      <c r="A28" s="97" t="s">
        <v>162</v>
      </c>
      <c r="B28" s="96">
        <f>B29+B30*(B31)</f>
        <v>0.105</v>
      </c>
    </row>
    <row r="29" spans="1:2" x14ac:dyDescent="0.25">
      <c r="A29" t="s">
        <v>166</v>
      </c>
      <c r="B29" s="67">
        <f>B11</f>
        <v>4.0099999999999997E-2</v>
      </c>
    </row>
    <row r="30" spans="1:2" x14ac:dyDescent="0.25">
      <c r="A30" t="s">
        <v>167</v>
      </c>
      <c r="B30">
        <v>1.18</v>
      </c>
    </row>
    <row r="31" spans="1:2" x14ac:dyDescent="0.25">
      <c r="A31" t="s">
        <v>168</v>
      </c>
      <c r="B31" s="67">
        <f>B13</f>
        <v>5.5E-2</v>
      </c>
    </row>
    <row r="32" spans="1:2" x14ac:dyDescent="0.25">
      <c r="A32" s="97" t="s">
        <v>163</v>
      </c>
      <c r="B32" s="99">
        <f>B33/B34</f>
        <v>0.10636363636363635</v>
      </c>
    </row>
    <row r="33" spans="1:2" x14ac:dyDescent="0.25">
      <c r="A33" t="s">
        <v>169</v>
      </c>
      <c r="B33" s="101">
        <v>1800000</v>
      </c>
    </row>
    <row r="34" spans="1:2" x14ac:dyDescent="0.25">
      <c r="A34" t="s">
        <v>170</v>
      </c>
      <c r="B34" s="2">
        <f>B25</f>
        <v>16923076.923076924</v>
      </c>
    </row>
    <row r="35" spans="1:2" x14ac:dyDescent="0.25">
      <c r="A35" t="s">
        <v>171</v>
      </c>
      <c r="B35" s="42">
        <v>0.21</v>
      </c>
    </row>
    <row r="37" spans="1:2" s="37" customFormat="1" x14ac:dyDescent="0.25"/>
    <row r="39" spans="1:2" ht="23.25" x14ac:dyDescent="0.35">
      <c r="A39" s="93" t="s">
        <v>174</v>
      </c>
    </row>
    <row r="40" spans="1:2" x14ac:dyDescent="0.25">
      <c r="A40" s="97" t="s">
        <v>158</v>
      </c>
      <c r="B40" s="99">
        <f>B44*B46+B45*B50*(1-B53)</f>
        <v>0.11721398046398046</v>
      </c>
    </row>
    <row r="41" spans="1:2" ht="30" x14ac:dyDescent="0.25">
      <c r="A41" s="12" t="s">
        <v>173</v>
      </c>
      <c r="B41" s="81">
        <f>B42+B43</f>
        <v>90000000</v>
      </c>
    </row>
    <row r="42" spans="1:2" x14ac:dyDescent="0.25">
      <c r="A42" t="s">
        <v>160</v>
      </c>
      <c r="B42" s="81">
        <f>B44*'Initial Investment &amp; Cashflows'!B173</f>
        <v>82747252.747252747</v>
      </c>
    </row>
    <row r="43" spans="1:2" x14ac:dyDescent="0.25">
      <c r="A43" t="s">
        <v>161</v>
      </c>
      <c r="B43" s="81">
        <f>B45*'Initial Investment &amp; Cashflows'!B173</f>
        <v>7252747.2527472535</v>
      </c>
    </row>
    <row r="44" spans="1:2" x14ac:dyDescent="0.25">
      <c r="A44" t="s">
        <v>164</v>
      </c>
      <c r="B44" s="95">
        <f>B8</f>
        <v>0.91941391941391937</v>
      </c>
    </row>
    <row r="45" spans="1:2" x14ac:dyDescent="0.25">
      <c r="A45" t="s">
        <v>165</v>
      </c>
      <c r="B45" s="95">
        <f>B9</f>
        <v>8.0586080586080591E-2</v>
      </c>
    </row>
    <row r="46" spans="1:2" x14ac:dyDescent="0.25">
      <c r="A46" s="97" t="s">
        <v>162</v>
      </c>
      <c r="B46" s="96">
        <f>B47+B48*(B49)</f>
        <v>0.11985</v>
      </c>
    </row>
    <row r="47" spans="1:2" x14ac:dyDescent="0.25">
      <c r="A47" t="s">
        <v>166</v>
      </c>
      <c r="B47" s="67">
        <f>B11</f>
        <v>4.0099999999999997E-2</v>
      </c>
    </row>
    <row r="48" spans="1:2" x14ac:dyDescent="0.25">
      <c r="A48" t="s">
        <v>167</v>
      </c>
      <c r="B48">
        <v>1.45</v>
      </c>
    </row>
    <row r="49" spans="1:2" x14ac:dyDescent="0.25">
      <c r="A49" t="s">
        <v>168</v>
      </c>
      <c r="B49" s="67">
        <f>B13</f>
        <v>5.5E-2</v>
      </c>
    </row>
    <row r="50" spans="1:2" x14ac:dyDescent="0.25">
      <c r="A50" s="97" t="s">
        <v>163</v>
      </c>
      <c r="B50" s="99">
        <f>B51/B52</f>
        <v>0.11030303030303029</v>
      </c>
    </row>
    <row r="51" spans="1:2" x14ac:dyDescent="0.25">
      <c r="A51" t="s">
        <v>169</v>
      </c>
      <c r="B51" s="100">
        <v>800000</v>
      </c>
    </row>
    <row r="52" spans="1:2" x14ac:dyDescent="0.25">
      <c r="A52" t="s">
        <v>170</v>
      </c>
      <c r="B52" s="81">
        <f>B43</f>
        <v>7252747.2527472535</v>
      </c>
    </row>
    <row r="53" spans="1:2" x14ac:dyDescent="0.25">
      <c r="A53" t="s">
        <v>171</v>
      </c>
      <c r="B53" s="42">
        <v>0.21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8DB-42B6-4F6D-A959-1B9D2078E4AD}">
  <dimension ref="A1:F22"/>
  <sheetViews>
    <sheetView zoomScale="133" workbookViewId="0">
      <selection activeCell="F19" sqref="F19"/>
    </sheetView>
  </sheetViews>
  <sheetFormatPr defaultRowHeight="15" x14ac:dyDescent="0.25"/>
  <cols>
    <col min="1" max="1" width="29.85546875" customWidth="1"/>
    <col min="2" max="2" width="19.42578125" bestFit="1" customWidth="1"/>
    <col min="5" max="5" width="14.85546875" bestFit="1" customWidth="1"/>
    <col min="6" max="6" width="21" bestFit="1" customWidth="1"/>
  </cols>
  <sheetData>
    <row r="1" spans="1:6" ht="51.75" customHeight="1" x14ac:dyDescent="0.25">
      <c r="A1" s="104" t="s">
        <v>198</v>
      </c>
    </row>
    <row r="2" spans="1:6" ht="15.75" thickBot="1" x14ac:dyDescent="0.3"/>
    <row r="3" spans="1:6" ht="15.75" thickBot="1" x14ac:dyDescent="0.3">
      <c r="A3" t="s">
        <v>136</v>
      </c>
      <c r="B3" s="81">
        <f>'Capital budgeting'!B45</f>
        <v>139347228.85031891</v>
      </c>
      <c r="D3" s="14" t="s">
        <v>199</v>
      </c>
      <c r="E3" s="50" t="s">
        <v>200</v>
      </c>
      <c r="F3" s="14" t="s">
        <v>201</v>
      </c>
    </row>
    <row r="4" spans="1:6" x14ac:dyDescent="0.25">
      <c r="A4" t="s">
        <v>202</v>
      </c>
      <c r="B4">
        <v>6</v>
      </c>
      <c r="D4" s="31">
        <v>0</v>
      </c>
      <c r="E4" s="13">
        <v>-210000000</v>
      </c>
      <c r="F4" s="31"/>
    </row>
    <row r="5" spans="1:6" x14ac:dyDescent="0.25">
      <c r="A5" t="s">
        <v>203</v>
      </c>
      <c r="B5" s="42">
        <v>0.1</v>
      </c>
      <c r="D5" s="31">
        <v>2026</v>
      </c>
      <c r="E5" s="2">
        <f>'Capital budgeting'!B8</f>
        <v>18701190</v>
      </c>
      <c r="F5" s="68">
        <f>'Capital budgeting'!C26</f>
        <v>17001081.818181816</v>
      </c>
    </row>
    <row r="6" spans="1:6" x14ac:dyDescent="0.25">
      <c r="A6" t="s">
        <v>207</v>
      </c>
      <c r="B6">
        <v>4.3550000000000004</v>
      </c>
      <c r="D6" s="31">
        <v>2027</v>
      </c>
      <c r="E6" s="2">
        <f>'Capital budgeting'!B9</f>
        <v>58106664</v>
      </c>
      <c r="F6" s="68">
        <f>'Capital budgeting'!C27</f>
        <v>48022036.36363636</v>
      </c>
    </row>
    <row r="7" spans="1:6" x14ac:dyDescent="0.25">
      <c r="D7" s="31">
        <v>2028</v>
      </c>
      <c r="E7" s="2">
        <f>'Capital budgeting'!B10</f>
        <v>79854520</v>
      </c>
      <c r="F7" s="68">
        <f>'Capital budgeting'!C28</f>
        <v>59995882.794891044</v>
      </c>
    </row>
    <row r="8" spans="1:6" x14ac:dyDescent="0.25">
      <c r="A8" t="s">
        <v>204</v>
      </c>
      <c r="B8" t="s">
        <v>205</v>
      </c>
      <c r="D8" s="31">
        <v>2029</v>
      </c>
      <c r="E8" s="2">
        <f>'Capital budgeting'!B11</f>
        <v>110366970</v>
      </c>
      <c r="F8" s="68">
        <f>'Capital budgeting'!C29</f>
        <v>75382125.537873074</v>
      </c>
    </row>
    <row r="9" spans="1:6" x14ac:dyDescent="0.25">
      <c r="A9" t="s">
        <v>206</v>
      </c>
      <c r="B9" s="81">
        <f>B3/B6</f>
        <v>31997067.474240847</v>
      </c>
      <c r="D9" s="31">
        <v>2030</v>
      </c>
      <c r="E9" s="2">
        <f>'Capital budgeting'!B12</f>
        <v>85994960</v>
      </c>
      <c r="F9" s="68">
        <f>'Capital budgeting'!C30</f>
        <v>53396104.339619108</v>
      </c>
    </row>
    <row r="10" spans="1:6" ht="15.75" thickBot="1" x14ac:dyDescent="0.3">
      <c r="D10" s="30">
        <v>2031</v>
      </c>
      <c r="E10" s="105">
        <f>'Capital budgeting'!B13</f>
        <v>169272650</v>
      </c>
      <c r="F10" s="69">
        <f>'Capital budgeting'!C31</f>
        <v>95549997.996117502</v>
      </c>
    </row>
    <row r="12" spans="1:6" s="37" customFormat="1" x14ac:dyDescent="0.25"/>
    <row r="14" spans="1:6" ht="47.25" customHeight="1" x14ac:dyDescent="0.25">
      <c r="A14" s="104" t="s">
        <v>209</v>
      </c>
    </row>
    <row r="15" spans="1:6" ht="15.75" thickBot="1" x14ac:dyDescent="0.3"/>
    <row r="16" spans="1:6" ht="15.75" thickBot="1" x14ac:dyDescent="0.3">
      <c r="A16" t="s">
        <v>136</v>
      </c>
      <c r="B16" s="2">
        <f>'Capital budgeting'!B103</f>
        <v>-9929.6002642065287</v>
      </c>
      <c r="D16" s="3" t="s">
        <v>6</v>
      </c>
      <c r="E16" s="14" t="s">
        <v>200</v>
      </c>
      <c r="F16" s="15" t="s">
        <v>201</v>
      </c>
    </row>
    <row r="17" spans="1:6" x14ac:dyDescent="0.25">
      <c r="A17" t="s">
        <v>202</v>
      </c>
      <c r="B17">
        <v>3</v>
      </c>
      <c r="D17" s="39">
        <v>0</v>
      </c>
      <c r="E17" s="74">
        <v>-90000000</v>
      </c>
      <c r="F17" s="5"/>
    </row>
    <row r="18" spans="1:6" x14ac:dyDescent="0.25">
      <c r="A18" t="s">
        <v>203</v>
      </c>
      <c r="B18" s="42">
        <v>0.12</v>
      </c>
      <c r="D18" s="39">
        <v>2026</v>
      </c>
      <c r="E18" s="68">
        <f>'Capital budgeting'!B90</f>
        <v>19708149.500000007</v>
      </c>
      <c r="F18" s="43">
        <f>'Capital budgeting'!C90</f>
        <v>17596562.053571433</v>
      </c>
    </row>
    <row r="19" spans="1:6" x14ac:dyDescent="0.25">
      <c r="A19" t="s">
        <v>207</v>
      </c>
      <c r="B19">
        <v>2.4020000000000001</v>
      </c>
      <c r="D19" s="39">
        <v>2027</v>
      </c>
      <c r="E19" s="68">
        <f>'Capital budgeting'!B91</f>
        <v>32251760.897000011</v>
      </c>
      <c r="F19" s="43">
        <f>'Capital budgeting'!C91</f>
        <v>25710906.32732781</v>
      </c>
    </row>
    <row r="20" spans="1:6" ht="15.75" thickBot="1" x14ac:dyDescent="0.3">
      <c r="D20" s="40">
        <v>2028</v>
      </c>
      <c r="E20" s="69">
        <f>'Capital budgeting'!B92</f>
        <v>65585694.689120017</v>
      </c>
      <c r="F20" s="44">
        <f>'Capital budgeting'!C92</f>
        <v>46682602.01883655</v>
      </c>
    </row>
    <row r="21" spans="1:6" x14ac:dyDescent="0.25">
      <c r="A21" t="s">
        <v>204</v>
      </c>
      <c r="B21" s="106" t="s">
        <v>208</v>
      </c>
    </row>
    <row r="22" spans="1:6" x14ac:dyDescent="0.25">
      <c r="A22" t="s">
        <v>206</v>
      </c>
      <c r="B22" s="2">
        <f>B16/B19</f>
        <v>-4133.8885363057989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E989-67F3-4513-8099-2A829786B4E3}">
  <dimension ref="A1:F48"/>
  <sheetViews>
    <sheetView topLeftCell="A3" zoomScale="110" zoomScaleNormal="110" workbookViewId="0">
      <selection activeCell="C34" sqref="C34"/>
    </sheetView>
  </sheetViews>
  <sheetFormatPr defaultRowHeight="15" x14ac:dyDescent="0.25"/>
  <cols>
    <col min="1" max="1" width="29.85546875" bestFit="1" customWidth="1"/>
    <col min="2" max="2" width="16.42578125" bestFit="1" customWidth="1"/>
    <col min="3" max="3" width="15.85546875" bestFit="1" customWidth="1"/>
    <col min="4" max="4" width="10.140625" bestFit="1" customWidth="1"/>
  </cols>
  <sheetData>
    <row r="1" spans="1:2" x14ac:dyDescent="0.25">
      <c r="A1" t="s">
        <v>65</v>
      </c>
    </row>
    <row r="2" spans="1:2" x14ac:dyDescent="0.25">
      <c r="A2" t="s">
        <v>64</v>
      </c>
    </row>
    <row r="3" spans="1:2" ht="15.75" thickBot="1" x14ac:dyDescent="0.3"/>
    <row r="4" spans="1:2" ht="15.75" thickBot="1" x14ac:dyDescent="0.3">
      <c r="A4" s="14" t="s">
        <v>6</v>
      </c>
      <c r="B4" s="15" t="s">
        <v>43</v>
      </c>
    </row>
    <row r="5" spans="1:2" x14ac:dyDescent="0.25">
      <c r="A5" s="31">
        <v>0</v>
      </c>
      <c r="B5" s="83">
        <v>-210000000</v>
      </c>
    </row>
    <row r="6" spans="1:2" x14ac:dyDescent="0.25">
      <c r="A6" s="31">
        <v>2026</v>
      </c>
      <c r="B6" s="9">
        <f>'Initial Investment &amp; Cashflows'!B150</f>
        <v>18701190</v>
      </c>
    </row>
    <row r="7" spans="1:2" x14ac:dyDescent="0.25">
      <c r="A7" s="31">
        <v>2027</v>
      </c>
      <c r="B7" s="9">
        <f>'Initial Investment &amp; Cashflows'!B151</f>
        <v>58106664</v>
      </c>
    </row>
    <row r="8" spans="1:2" x14ac:dyDescent="0.25">
      <c r="A8" s="31">
        <v>2028</v>
      </c>
      <c r="B8" s="75">
        <f>'Initial Investment &amp; Cashflows'!B152</f>
        <v>79854520</v>
      </c>
    </row>
    <row r="9" spans="1:2" x14ac:dyDescent="0.25">
      <c r="A9" s="31">
        <v>2029</v>
      </c>
      <c r="B9" s="9">
        <f>'Initial Investment &amp; Cashflows'!B153</f>
        <v>110366970</v>
      </c>
    </row>
    <row r="10" spans="1:2" x14ac:dyDescent="0.25">
      <c r="A10" s="31">
        <v>2030</v>
      </c>
      <c r="B10" s="9">
        <f>'Initial Investment &amp; Cashflows'!B154</f>
        <v>85994960</v>
      </c>
    </row>
    <row r="11" spans="1:2" ht="15.75" thickBot="1" x14ac:dyDescent="0.3">
      <c r="A11" s="30">
        <v>2031</v>
      </c>
      <c r="B11" s="10">
        <f>'Initial Investment &amp; Cashflows'!B155</f>
        <v>169272650</v>
      </c>
    </row>
    <row r="16" spans="1:2" ht="15.75" thickBot="1" x14ac:dyDescent="0.3"/>
    <row r="17" spans="1:4" x14ac:dyDescent="0.25">
      <c r="A17" s="76" t="s">
        <v>152</v>
      </c>
      <c r="B17" s="77" t="s">
        <v>153</v>
      </c>
      <c r="C17" s="78" t="s">
        <v>154</v>
      </c>
    </row>
    <row r="18" spans="1:4" x14ac:dyDescent="0.25">
      <c r="A18" s="112">
        <v>8.8400000000000006E-2</v>
      </c>
      <c r="B18" s="110">
        <f>NPV(A18,B6:B11)</f>
        <v>364943703.31018937</v>
      </c>
      <c r="C18" s="111">
        <f>B5+B18</f>
        <v>154943703.31018937</v>
      </c>
      <c r="D18" t="s">
        <v>210</v>
      </c>
    </row>
    <row r="19" spans="1:4" x14ac:dyDescent="0.25">
      <c r="A19" s="79">
        <v>0.1</v>
      </c>
      <c r="B19" s="81">
        <f>NPV(A19,B6:B11)</f>
        <v>349347228.85031891</v>
      </c>
      <c r="C19" s="82">
        <f>B5+B19</f>
        <v>139347228.85031891</v>
      </c>
      <c r="D19" s="80" t="s">
        <v>155</v>
      </c>
    </row>
    <row r="20" spans="1:4" x14ac:dyDescent="0.25">
      <c r="A20" s="79">
        <v>0.11</v>
      </c>
      <c r="B20" s="81">
        <f>NPV(A20,B6:B11)</f>
        <v>336633563.72705805</v>
      </c>
      <c r="C20" s="82">
        <f>B5+B20</f>
        <v>126633563.72705805</v>
      </c>
    </row>
    <row r="21" spans="1:4" ht="15.75" thickBot="1" x14ac:dyDescent="0.3">
      <c r="A21" s="114">
        <v>0.12</v>
      </c>
      <c r="B21" s="115">
        <f>NPV(A21,B6:B11)</f>
        <v>324553484.80013037</v>
      </c>
      <c r="C21" s="116">
        <f>B5+B21</f>
        <v>114553484.80013037</v>
      </c>
    </row>
    <row r="25" spans="1:4" s="84" customFormat="1" ht="15.75" thickBot="1" x14ac:dyDescent="0.3"/>
    <row r="27" spans="1:4" x14ac:dyDescent="0.25">
      <c r="A27" t="s">
        <v>67</v>
      </c>
    </row>
    <row r="28" spans="1:4" x14ac:dyDescent="0.25">
      <c r="A28" t="s">
        <v>68</v>
      </c>
    </row>
    <row r="29" spans="1:4" ht="15.75" thickBot="1" x14ac:dyDescent="0.3"/>
    <row r="30" spans="1:4" ht="15.75" thickBot="1" x14ac:dyDescent="0.3">
      <c r="A30" s="3" t="s">
        <v>6</v>
      </c>
      <c r="B30" s="14" t="s">
        <v>104</v>
      </c>
    </row>
    <row r="31" spans="1:4" x14ac:dyDescent="0.25">
      <c r="A31" s="39">
        <v>0</v>
      </c>
      <c r="B31" s="74">
        <v>-90000000</v>
      </c>
    </row>
    <row r="32" spans="1:4" x14ac:dyDescent="0.25">
      <c r="A32" s="39">
        <v>2026</v>
      </c>
      <c r="B32" s="68">
        <f>'Initial Investment &amp; Cashflows'!B293</f>
        <v>19708149.500000007</v>
      </c>
    </row>
    <row r="33" spans="1:6" x14ac:dyDescent="0.25">
      <c r="A33" s="39">
        <v>2027</v>
      </c>
      <c r="B33" s="68">
        <f>'Initial Investment &amp; Cashflows'!B294</f>
        <v>32251760.897000011</v>
      </c>
    </row>
    <row r="34" spans="1:6" ht="15.75" thickBot="1" x14ac:dyDescent="0.3">
      <c r="A34" s="40">
        <v>2028</v>
      </c>
      <c r="B34" s="69">
        <f>'Initial Investment &amp; Cashflows'!B295</f>
        <v>65585694.689120017</v>
      </c>
    </row>
    <row r="38" spans="1:6" ht="15.75" thickBot="1" x14ac:dyDescent="0.3"/>
    <row r="39" spans="1:6" x14ac:dyDescent="0.25">
      <c r="A39" s="85" t="s">
        <v>152</v>
      </c>
      <c r="B39" s="86" t="s">
        <v>153</v>
      </c>
      <c r="C39" s="87" t="s">
        <v>154</v>
      </c>
    </row>
    <row r="40" spans="1:6" x14ac:dyDescent="0.25">
      <c r="A40" s="117">
        <v>8.8400000000000006E-2</v>
      </c>
      <c r="B40" s="110">
        <f>NPV(A40,B32:B34)</f>
        <v>96200848.839752361</v>
      </c>
      <c r="C40" s="113">
        <f>B31+B40</f>
        <v>6200848.8397523612</v>
      </c>
      <c r="D40" t="s">
        <v>211</v>
      </c>
    </row>
    <row r="41" spans="1:6" x14ac:dyDescent="0.25">
      <c r="A41" s="88">
        <v>0.1</v>
      </c>
      <c r="B41" s="81">
        <f>NPV(A41,B32:B34)</f>
        <v>93846350.541562736</v>
      </c>
      <c r="C41" s="89">
        <f>B31+B41</f>
        <v>3846350.541562736</v>
      </c>
    </row>
    <row r="42" spans="1:6" x14ac:dyDescent="0.25">
      <c r="A42" s="88">
        <v>0.11</v>
      </c>
      <c r="B42" s="81">
        <f>NPV(A42,B32:B34)</f>
        <v>91887036.988588303</v>
      </c>
      <c r="C42" s="89">
        <f>B31+B42</f>
        <v>1887036.9885883033</v>
      </c>
    </row>
    <row r="43" spans="1:6" ht="15.75" thickBot="1" x14ac:dyDescent="0.3">
      <c r="A43" s="91">
        <v>0.12</v>
      </c>
      <c r="B43" s="90">
        <f>NPV(A43,B32:B34)</f>
        <v>89990070.399735808</v>
      </c>
      <c r="C43" s="92">
        <f>B31+B43</f>
        <v>-9929.6002641916275</v>
      </c>
      <c r="D43" s="80" t="s">
        <v>155</v>
      </c>
    </row>
    <row r="48" spans="1:6" x14ac:dyDescent="0.25">
      <c r="F48" s="9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Investment &amp; Cashflows</vt:lpstr>
      <vt:lpstr>Capital budgeting</vt:lpstr>
      <vt:lpstr>WACC</vt:lpstr>
      <vt:lpstr>ANPV</vt:lpstr>
      <vt:lpstr>sensitivity analysis</vt:lpstr>
    </vt:vector>
  </TitlesOfParts>
  <Company>Bahrain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Abdulhadi Abdulla Yusuf Hasan</dc:creator>
  <cp:lastModifiedBy>Elias Abdulhadi Abdulla Yusuf Hasan</cp:lastModifiedBy>
  <dcterms:created xsi:type="dcterms:W3CDTF">2025-11-17T13:06:29Z</dcterms:created>
  <dcterms:modified xsi:type="dcterms:W3CDTF">2025-11-30T20:05:10Z</dcterms:modified>
</cp:coreProperties>
</file>