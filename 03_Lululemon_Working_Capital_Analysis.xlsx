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1371B15-B877-8941-B054-37ECF49FFF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Net Working Capital" sheetId="15" r:id="rId1"/>
    <sheet name="Charts NWC" sheetId="16" r:id="rId2"/>
  </sheets>
  <calcPr calcId="191028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" i="15" l="1"/>
  <c r="I7" i="15"/>
  <c r="D64" i="15"/>
  <c r="I6" i="15"/>
  <c r="D63" i="15"/>
  <c r="I5" i="15"/>
  <c r="B65" i="15"/>
  <c r="G7" i="15"/>
  <c r="B63" i="15"/>
  <c r="G5" i="15"/>
  <c r="B64" i="15"/>
  <c r="G6" i="15"/>
  <c r="B62" i="15"/>
  <c r="G4" i="15"/>
  <c r="S55" i="15"/>
  <c r="R7" i="15"/>
  <c r="R26" i="15"/>
  <c r="Q39" i="15"/>
  <c r="S39" i="15"/>
  <c r="M7" i="15"/>
  <c r="R28" i="15"/>
  <c r="Q38" i="15"/>
  <c r="S38" i="15"/>
  <c r="O7" i="15"/>
  <c r="R27" i="15"/>
  <c r="Q46" i="15"/>
  <c r="S46" i="15"/>
  <c r="N7" i="15"/>
  <c r="N55" i="15"/>
  <c r="R6" i="15"/>
  <c r="M28" i="15"/>
  <c r="L38" i="15"/>
  <c r="N38" i="15"/>
  <c r="M27" i="15"/>
  <c r="L46" i="15"/>
  <c r="N46" i="15"/>
  <c r="N6" i="15"/>
  <c r="M26" i="15"/>
  <c r="L39" i="15"/>
  <c r="N39" i="15"/>
  <c r="M6" i="15"/>
  <c r="H26" i="15"/>
  <c r="G39" i="15"/>
  <c r="I39" i="15"/>
  <c r="M5" i="15"/>
  <c r="H27" i="15"/>
  <c r="G46" i="15"/>
  <c r="I46" i="15"/>
  <c r="N5" i="15"/>
  <c r="H28" i="15"/>
  <c r="G38" i="15"/>
  <c r="I38" i="15"/>
  <c r="O5" i="15"/>
  <c r="I55" i="15"/>
  <c r="R5" i="15"/>
  <c r="D55" i="15"/>
  <c r="R4" i="15"/>
  <c r="D62" i="15"/>
  <c r="I4" i="15"/>
  <c r="C28" i="15"/>
  <c r="B38" i="15"/>
  <c r="D38" i="15"/>
  <c r="O4" i="15"/>
  <c r="C27" i="15"/>
  <c r="B46" i="15"/>
  <c r="D46" i="15"/>
  <c r="N4" i="15"/>
  <c r="C26" i="15"/>
  <c r="B39" i="15"/>
  <c r="J4" i="15"/>
  <c r="K6" i="15"/>
  <c r="N40" i="15"/>
  <c r="N47" i="15"/>
  <c r="Q6" i="15"/>
  <c r="O6" i="15"/>
  <c r="J6" i="15"/>
  <c r="J7" i="15"/>
  <c r="J5" i="15"/>
  <c r="K5" i="15"/>
  <c r="L6" i="15"/>
  <c r="K7" i="15"/>
  <c r="L5" i="15"/>
  <c r="L7" i="15"/>
  <c r="C65" i="15"/>
  <c r="H7" i="15"/>
  <c r="K4" i="15"/>
  <c r="L4" i="15"/>
  <c r="C63" i="15"/>
  <c r="H5" i="15"/>
  <c r="C64" i="15"/>
  <c r="H6" i="15"/>
  <c r="C62" i="15"/>
  <c r="H4" i="15"/>
  <c r="S40" i="15"/>
  <c r="I40" i="15"/>
  <c r="D39" i="15"/>
  <c r="S47" i="15"/>
  <c r="Q7" i="15"/>
  <c r="P7" i="15"/>
  <c r="P6" i="15"/>
  <c r="D40" i="15"/>
  <c r="M4" i="15"/>
  <c r="I47" i="15"/>
  <c r="Q5" i="15"/>
  <c r="P5" i="15"/>
  <c r="D47" i="15"/>
  <c r="Q4" i="15"/>
  <c r="P4" i="15"/>
</calcChain>
</file>

<file path=xl/sharedStrings.xml><?xml version="1.0" encoding="utf-8"?>
<sst xmlns="http://schemas.openxmlformats.org/spreadsheetml/2006/main" count="314" uniqueCount="112">
  <si>
    <t xml:space="preserve">Inventory </t>
  </si>
  <si>
    <t xml:space="preserve">Credit sales </t>
  </si>
  <si>
    <t xml:space="preserve">Cost of goods sold </t>
  </si>
  <si>
    <t xml:space="preserve">Account payable  </t>
  </si>
  <si>
    <t xml:space="preserve">Accounts receivables </t>
  </si>
  <si>
    <t>Component</t>
  </si>
  <si>
    <t xml:space="preserve">Component </t>
  </si>
  <si>
    <t xml:space="preserve"> </t>
  </si>
  <si>
    <t>Operating cycle</t>
  </si>
  <si>
    <t>Inventory period + Accounts receivable period</t>
  </si>
  <si>
    <t>Cash cycle</t>
  </si>
  <si>
    <t>Operating cycle – Accounts payable period</t>
  </si>
  <si>
    <t>Receivables turnover</t>
  </si>
  <si>
    <t>Credit sales / Average accounts receivable</t>
  </si>
  <si>
    <t>Receivables period</t>
  </si>
  <si>
    <t>365 days / Receivables turnover</t>
  </si>
  <si>
    <t xml:space="preserve">Formulas Used :- </t>
  </si>
  <si>
    <t>Payables turnover</t>
  </si>
  <si>
    <t>Cost of goods sold / Average payables</t>
  </si>
  <si>
    <t>Payables period</t>
  </si>
  <si>
    <t>365 days / Payables turnover</t>
  </si>
  <si>
    <t>Inventory turnover</t>
  </si>
  <si>
    <t>Cost of goods sold / Average inventory</t>
  </si>
  <si>
    <t>Inventory period</t>
  </si>
  <si>
    <t>365 days / Inventory turnover</t>
  </si>
  <si>
    <t>Net working capital</t>
  </si>
  <si>
    <t xml:space="preserve">Current Assests - Current Liability </t>
  </si>
  <si>
    <t>From Balance Sheet → Trade Accounts &amp; Trade Notes Receivable – Net (2024-2025)</t>
  </si>
  <si>
    <t>From Balance Sheet → Inventories – Total (2024-2025)</t>
  </si>
  <si>
    <t>120.2 - 124.8</t>
  </si>
  <si>
    <t>271.4 - 348.4</t>
  </si>
  <si>
    <t>1442.1 - 1323.6</t>
  </si>
  <si>
    <t>https://corporate.lululemon.com/~/media/Files/L/Lululemon/investors/annual-reports/lululemon-2024-annual-report.pdf (Page 51)</t>
  </si>
  <si>
    <t>From Balance Sheet → Trade Accounts &amp; Trade Notes Payable  (2024-2025)</t>
  </si>
  <si>
    <t>From Income Statement → Revenue from Goods &amp; Services Credit Sales (2025)</t>
  </si>
  <si>
    <t>USD (In Millions)</t>
  </si>
  <si>
    <t xml:space="preserve">NET WORKING CAPITAL </t>
  </si>
  <si>
    <t>Source</t>
  </si>
  <si>
    <r>
      <t xml:space="preserve">            Beginning - Ending  </t>
    </r>
    <r>
      <rPr>
        <b/>
        <sz val="6"/>
        <color rgb="FF000000"/>
        <rFont val="Calibri"/>
        <family val="2"/>
      </rPr>
      <t xml:space="preserve">USD (in millions) </t>
    </r>
  </si>
  <si>
    <t xml:space="preserve">Operating cycle  </t>
  </si>
  <si>
    <t>Days</t>
  </si>
  <si>
    <t>Inventory turnover  </t>
  </si>
  <si>
    <t>Inventory turnover period  </t>
  </si>
  <si>
    <t>Receivables turnover  </t>
  </si>
  <si>
    <t>Receivables period  </t>
  </si>
  <si>
    <t xml:space="preserve">AVG </t>
  </si>
  <si>
    <t>Item</t>
  </si>
  <si>
    <t xml:space="preserve">Times </t>
  </si>
  <si>
    <t>Item Periods</t>
  </si>
  <si>
    <t>Payables turnover  </t>
  </si>
  <si>
    <t>Payables turnover period  </t>
  </si>
  <si>
    <t xml:space="preserve">Cash cycle  </t>
  </si>
  <si>
    <t xml:space="preserve">Net working capital </t>
  </si>
  <si>
    <t xml:space="preserve">Current assets </t>
  </si>
  <si>
    <t xml:space="preserve">Current liabilities </t>
  </si>
  <si>
    <t xml:space="preserve">Nike </t>
  </si>
  <si>
    <t>Adidas</t>
  </si>
  <si>
    <t>Puma</t>
  </si>
  <si>
    <t>Lululemon</t>
  </si>
  <si>
    <t>Sources</t>
  </si>
  <si>
    <t xml:space="preserve">Cash ratio </t>
  </si>
  <si>
    <t xml:space="preserve">Quick ratio </t>
  </si>
  <si>
    <t xml:space="preserve">Current ratio </t>
  </si>
  <si>
    <t xml:space="preserve">	
Lulu lemon data.xlsxLulu lemon data.xlsx</t>
  </si>
  <si>
    <t>Liquidity ratios 2025 (Benchmarking)</t>
  </si>
  <si>
    <t xml:space="preserve">Company </t>
  </si>
  <si>
    <t xml:space="preserve">Liquidity ratios  </t>
  </si>
  <si>
    <t>Current Ratio</t>
  </si>
  <si>
    <t>Quick Ratio</t>
  </si>
  <si>
    <t>Cash Ratio</t>
  </si>
  <si>
    <t>Current Assests / Current Liability</t>
  </si>
  <si>
    <t>Cash / Current Liability</t>
  </si>
  <si>
    <t>Net working capital (Lululemon)</t>
  </si>
  <si>
    <r>
      <rPr>
        <b/>
        <sz val="16"/>
        <color theme="0"/>
        <rFont val="Calibri"/>
        <family val="2"/>
        <scheme val="minor"/>
      </rPr>
      <t xml:space="preserve">Cash cycle </t>
    </r>
    <r>
      <rPr>
        <b/>
        <sz val="14"/>
        <color theme="0"/>
        <rFont val="Calibri"/>
        <family val="2"/>
        <scheme val="minor"/>
      </rPr>
      <t xml:space="preserve"> (Lululemon)</t>
    </r>
  </si>
  <si>
    <r>
      <rPr>
        <b/>
        <sz val="16"/>
        <color theme="0"/>
        <rFont val="Calibri"/>
        <family val="2"/>
        <scheme val="minor"/>
      </rPr>
      <t xml:space="preserve">Operating cycle </t>
    </r>
    <r>
      <rPr>
        <sz val="14"/>
        <color theme="0"/>
        <rFont val="Calibri"/>
        <family val="2"/>
        <scheme val="minor"/>
      </rPr>
      <t xml:space="preserve"> </t>
    </r>
    <r>
      <rPr>
        <b/>
        <sz val="14"/>
        <color theme="0"/>
        <rFont val="Calibri"/>
        <family val="2"/>
        <scheme val="minor"/>
      </rPr>
      <t>(Lululemon)</t>
    </r>
  </si>
  <si>
    <t>Collected Information from Nike</t>
  </si>
  <si>
    <t>4427 - 4717</t>
  </si>
  <si>
    <t>2851 - 3479</t>
  </si>
  <si>
    <t>7519 - 7489</t>
  </si>
  <si>
    <t>https://s1.q4cdn.com/806093406/files/doc_financials/2025/ar/Nike-Inc-2025_10K.pdf</t>
  </si>
  <si>
    <r>
      <rPr>
        <b/>
        <sz val="16"/>
        <color theme="0"/>
        <rFont val="Calibri"/>
        <family val="2"/>
        <scheme val="minor"/>
      </rPr>
      <t xml:space="preserve">Operating cycle </t>
    </r>
    <r>
      <rPr>
        <sz val="14"/>
        <color theme="0"/>
        <rFont val="Calibri"/>
        <family val="2"/>
        <scheme val="minor"/>
      </rPr>
      <t xml:space="preserve"> </t>
    </r>
    <r>
      <rPr>
        <b/>
        <sz val="14"/>
        <color theme="0"/>
        <rFont val="Calibri"/>
        <family val="2"/>
        <scheme val="minor"/>
      </rPr>
      <t>(Nike)</t>
    </r>
  </si>
  <si>
    <r>
      <rPr>
        <b/>
        <sz val="16"/>
        <color theme="0"/>
        <rFont val="Calibri"/>
        <family val="2"/>
        <scheme val="minor"/>
      </rPr>
      <t xml:space="preserve">Cash cycle </t>
    </r>
    <r>
      <rPr>
        <b/>
        <sz val="14"/>
        <color theme="0"/>
        <rFont val="Calibri"/>
        <family val="2"/>
        <scheme val="minor"/>
      </rPr>
      <t xml:space="preserve"> (Nike)</t>
    </r>
  </si>
  <si>
    <t>Collected Information from Adidas</t>
  </si>
  <si>
    <r>
      <rPr>
        <b/>
        <sz val="16"/>
        <color theme="0"/>
        <rFont val="Calibri"/>
        <family val="2"/>
        <scheme val="minor"/>
      </rPr>
      <t xml:space="preserve">Operating cycle </t>
    </r>
    <r>
      <rPr>
        <sz val="14"/>
        <color theme="0"/>
        <rFont val="Calibri"/>
        <family val="2"/>
        <scheme val="minor"/>
      </rPr>
      <t xml:space="preserve"> </t>
    </r>
    <r>
      <rPr>
        <b/>
        <sz val="14"/>
        <color theme="0"/>
        <rFont val="Calibri"/>
        <family val="2"/>
        <scheme val="minor"/>
      </rPr>
      <t>(Adidas)</t>
    </r>
  </si>
  <si>
    <r>
      <rPr>
        <b/>
        <sz val="16"/>
        <color theme="0"/>
        <rFont val="Calibri"/>
        <family val="2"/>
        <scheme val="minor"/>
      </rPr>
      <t xml:space="preserve">Cash cycle </t>
    </r>
    <r>
      <rPr>
        <b/>
        <sz val="14"/>
        <color theme="0"/>
        <rFont val="Calibri"/>
        <family val="2"/>
        <scheme val="minor"/>
      </rPr>
      <t xml:space="preserve"> (Adidas)</t>
    </r>
  </si>
  <si>
    <t>Net working capital (Adidas)</t>
  </si>
  <si>
    <t>Net working capital (Nike)</t>
  </si>
  <si>
    <t>(Current Assets − Inventory ) / CL</t>
  </si>
  <si>
    <t>Collected Information from Puma</t>
  </si>
  <si>
    <t>2771 - 3132</t>
  </si>
  <si>
    <t>2560 - 2742</t>
  </si>
  <si>
    <t xml:space="preserve"> 4544 - 5261</t>
  </si>
  <si>
    <t>https://res.cloudinary.com/confirmed-web/image/upload/v1753852841/adidas-group/investors/financial-publications/2025/Q2/H1_2025_Report_EN_Final_xvs0k3.pdf</t>
  </si>
  <si>
    <t>1894 - 1514</t>
  </si>
  <si>
    <t>2014 - 2152</t>
  </si>
  <si>
    <t>1246.5 - 1309</t>
  </si>
  <si>
    <t>https://about.puma.com/sites/default/files/financial-report/2025/q2-2025-half-year-financial-report-final.pdf</t>
  </si>
  <si>
    <r>
      <rPr>
        <b/>
        <sz val="16"/>
        <color theme="0"/>
        <rFont val="Calibri"/>
        <family val="2"/>
        <scheme val="minor"/>
      </rPr>
      <t xml:space="preserve">Operating cycle </t>
    </r>
    <r>
      <rPr>
        <sz val="14"/>
        <color theme="0"/>
        <rFont val="Calibri"/>
        <family val="2"/>
        <scheme val="minor"/>
      </rPr>
      <t xml:space="preserve"> </t>
    </r>
    <r>
      <rPr>
        <b/>
        <sz val="14"/>
        <color theme="0"/>
        <rFont val="Calibri"/>
        <family val="2"/>
        <scheme val="minor"/>
      </rPr>
      <t>(Puma)</t>
    </r>
  </si>
  <si>
    <r>
      <rPr>
        <b/>
        <sz val="16"/>
        <color theme="0"/>
        <rFont val="Calibri"/>
        <family val="2"/>
        <scheme val="minor"/>
      </rPr>
      <t xml:space="preserve">Cash cycle </t>
    </r>
    <r>
      <rPr>
        <b/>
        <sz val="14"/>
        <color theme="0"/>
        <rFont val="Calibri"/>
        <family val="2"/>
        <scheme val="minor"/>
      </rPr>
      <t xml:space="preserve"> (Puma)</t>
    </r>
  </si>
  <si>
    <t>Net working capital (Puma)</t>
  </si>
  <si>
    <t xml:space="preserve">adidas </t>
  </si>
  <si>
    <t>Collected Information from Lululemon</t>
  </si>
  <si>
    <t>Row Labels</t>
  </si>
  <si>
    <t>Grand Total</t>
  </si>
  <si>
    <t xml:space="preserve">Sum of Current ratio </t>
  </si>
  <si>
    <t xml:space="preserve">Sum of Quick ratio </t>
  </si>
  <si>
    <t xml:space="preserve">Sum of Cash ratio </t>
  </si>
  <si>
    <t>Summary (Benchmarking)</t>
  </si>
  <si>
    <t>Sum of Operating cycle</t>
  </si>
  <si>
    <t>Sum of Cash cycle</t>
  </si>
  <si>
    <t>Sum of Net working capital</t>
  </si>
  <si>
    <t>For Benchmarking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</si>
</sst>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000000"/>
      <name val="Calibri"/>
      <family val="2"/>
    </font>
    <font>
      <sz val="14"/>
      <color theme="0"/>
      <name val="Calibri"/>
      <family val="2"/>
      <scheme val="minor"/>
    </font>
    <font>
      <b/>
      <sz val="6"/>
      <color rgb="FF000000"/>
      <name val="Calibri"/>
      <family val="2"/>
    </font>
    <font>
      <b/>
      <sz val="14"/>
      <color theme="0"/>
      <name val="Calibri"/>
      <family val="2"/>
    </font>
    <font>
      <sz val="12"/>
      <name val="Aptos"/>
      <family val="2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0"/>
      <name val="Calibri"/>
      <family val="2"/>
      <scheme val="minor"/>
    </font>
    <font>
      <b/>
      <sz val="12"/>
      <color theme="0"/>
      <name val="Calibri"/>
      <family val="2"/>
    </font>
    <font>
      <b/>
      <sz val="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2"/>
      <color rgb="FF000000"/>
      <name val="Calibri"/>
      <family val="2"/>
    </font>
    <font>
      <sz val="11"/>
      <color theme="0"/>
      <name val="Calibri"/>
      <family val="2"/>
    </font>
    <font>
      <b/>
      <sz val="20"/>
      <name val="Calibri"/>
      <family val="2"/>
    </font>
    <font>
      <b/>
      <sz val="28"/>
      <name val="Calibri"/>
      <family val="2"/>
      <scheme val="minor"/>
    </font>
    <font>
      <sz val="28"/>
      <name val="Calibri"/>
      <family val="2"/>
      <scheme val="minor"/>
    </font>
    <font>
      <b/>
      <sz val="22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theme="6" tint="-0.499984740745262"/>
      </patternFill>
    </fill>
    <fill>
      <patternFill patternType="solid">
        <fgColor theme="6" tint="0.39997558519241921"/>
        <bgColor theme="6" tint="-0.499984740745262"/>
      </patternFill>
    </fill>
    <fill>
      <patternFill patternType="solid">
        <fgColor theme="6" tint="0.79998168889431442"/>
        <bgColor theme="6" tint="-0.499984740745262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6" tint="-0.499984740745262"/>
      </patternFill>
    </fill>
    <fill>
      <patternFill patternType="solid">
        <fgColor theme="7" tint="-0.249977111117893"/>
        <bgColor theme="6" tint="-0.499984740745262"/>
      </patternFill>
    </fill>
    <fill>
      <patternFill patternType="solid">
        <fgColor theme="7" tint="0.39997558519241921"/>
        <bgColor theme="6" tint="-0.499984740745262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Border="0" applyAlignment="0"/>
    <xf numFmtId="0" fontId="3" fillId="0" borderId="0" applyNumberFormat="0" applyFill="0" applyBorder="0" applyAlignment="0" applyProtection="0"/>
  </cellStyleXfs>
  <cellXfs count="263">
    <xf numFmtId="0" fontId="0" fillId="0" borderId="0" xfId="0"/>
    <xf numFmtId="0" fontId="4" fillId="3" borderId="3" xfId="0" applyFont="1" applyFill="1" applyBorder="1"/>
    <xf numFmtId="0" fontId="0" fillId="2" borderId="5" xfId="0" applyFill="1" applyBorder="1"/>
    <xf numFmtId="0" fontId="2" fillId="3" borderId="6" xfId="0" applyFont="1" applyFill="1" applyBorder="1"/>
    <xf numFmtId="0" fontId="0" fillId="2" borderId="4" xfId="0" applyFill="1" applyBorder="1"/>
    <xf numFmtId="0" fontId="0" fillId="0" borderId="0" xfId="0" applyBorder="1"/>
    <xf numFmtId="0" fontId="0" fillId="2" borderId="4" xfId="0" applyNumberForma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0" fillId="2" borderId="5" xfId="0" applyFill="1" applyBorder="1" applyAlignment="1"/>
    <xf numFmtId="0" fontId="7" fillId="5" borderId="4" xfId="0" applyFont="1" applyFill="1" applyBorder="1"/>
    <xf numFmtId="0" fontId="0" fillId="5" borderId="4" xfId="0" applyFill="1" applyBorder="1"/>
    <xf numFmtId="0" fontId="0" fillId="2" borderId="9" xfId="0" applyFill="1" applyBorder="1"/>
    <xf numFmtId="0" fontId="0" fillId="2" borderId="9" xfId="0" applyNumberFormat="1" applyFill="1" applyBorder="1" applyAlignment="1">
      <alignment horizontal="center"/>
    </xf>
    <xf numFmtId="0" fontId="2" fillId="3" borderId="10" xfId="0" applyFont="1" applyFill="1" applyBorder="1"/>
    <xf numFmtId="0" fontId="0" fillId="0" borderId="4" xfId="0" applyBorder="1"/>
    <xf numFmtId="0" fontId="0" fillId="0" borderId="4" xfId="0" applyNumberForma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 applyBorder="1" applyAlignment="1"/>
    <xf numFmtId="0" fontId="11" fillId="3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9" xfId="0" applyFill="1" applyBorder="1" applyAlignment="1"/>
    <xf numFmtId="2" fontId="0" fillId="2" borderId="4" xfId="0" applyNumberFormat="1" applyFill="1" applyBorder="1" applyAlignment="1">
      <alignment horizontal="center"/>
    </xf>
    <xf numFmtId="0" fontId="10" fillId="6" borderId="4" xfId="0" applyFont="1" applyFill="1" applyBorder="1" applyAlignment="1"/>
    <xf numFmtId="2" fontId="0" fillId="2" borderId="9" xfId="0" applyNumberFormat="1" applyFill="1" applyBorder="1" applyAlignment="1"/>
    <xf numFmtId="2" fontId="0" fillId="2" borderId="9" xfId="0" applyNumberFormat="1" applyFill="1" applyBorder="1" applyAlignment="1">
      <alignment horizontal="center"/>
    </xf>
    <xf numFmtId="2" fontId="0" fillId="2" borderId="4" xfId="0" applyNumberFormat="1" applyFill="1" applyBorder="1" applyAlignment="1"/>
    <xf numFmtId="2" fontId="0" fillId="6" borderId="4" xfId="0" applyNumberFormat="1" applyFill="1" applyBorder="1"/>
    <xf numFmtId="0" fontId="8" fillId="6" borderId="12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12" fillId="6" borderId="4" xfId="0" applyFont="1" applyFill="1" applyBorder="1" applyAlignment="1">
      <alignment horizontal="left"/>
    </xf>
    <xf numFmtId="0" fontId="11" fillId="3" borderId="12" xfId="0" applyFont="1" applyFill="1" applyBorder="1" applyAlignment="1">
      <alignment vertical="center" wrapText="1"/>
    </xf>
    <xf numFmtId="0" fontId="11" fillId="3" borderId="11" xfId="0" applyFont="1" applyFill="1" applyBorder="1" applyAlignment="1">
      <alignment vertical="center" wrapText="1"/>
    </xf>
    <xf numFmtId="2" fontId="0" fillId="2" borderId="12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0" fontId="13" fillId="3" borderId="4" xfId="0" applyFont="1" applyFill="1" applyBorder="1" applyAlignment="1">
      <alignment horizontal="center" vertical="center" wrapText="1"/>
    </xf>
    <xf numFmtId="0" fontId="10" fillId="6" borderId="4" xfId="0" applyFont="1" applyFill="1" applyBorder="1"/>
    <xf numFmtId="0" fontId="0" fillId="6" borderId="12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4" fillId="0" borderId="0" xfId="0" applyFont="1" applyBorder="1"/>
    <xf numFmtId="4" fontId="0" fillId="0" borderId="0" xfId="0" applyNumberFormat="1" applyBorder="1"/>
    <xf numFmtId="0" fontId="3" fillId="0" borderId="0" xfId="1" applyFill="1" applyBorder="1"/>
    <xf numFmtId="0" fontId="5" fillId="0" borderId="0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0" fillId="2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3" borderId="4" xfId="0" applyFont="1" applyFill="1" applyBorder="1"/>
    <xf numFmtId="4" fontId="0" fillId="2" borderId="4" xfId="0" applyNumberFormat="1" applyFill="1" applyBorder="1"/>
    <xf numFmtId="0" fontId="3" fillId="2" borderId="4" xfId="1" applyFill="1" applyBorder="1"/>
    <xf numFmtId="0" fontId="7" fillId="0" borderId="0" xfId="0" applyFont="1" applyFill="1" applyBorder="1"/>
    <xf numFmtId="0" fontId="0" fillId="0" borderId="0" xfId="0" applyFill="1" applyBorder="1"/>
    <xf numFmtId="0" fontId="0" fillId="0" borderId="0" xfId="0" applyFill="1"/>
    <xf numFmtId="0" fontId="2" fillId="8" borderId="6" xfId="0" applyFont="1" applyFill="1" applyBorder="1"/>
    <xf numFmtId="0" fontId="4" fillId="8" borderId="6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3" xfId="0" applyFont="1" applyFill="1" applyBorder="1"/>
    <xf numFmtId="0" fontId="0" fillId="9" borderId="4" xfId="0" applyFill="1" applyBorder="1"/>
    <xf numFmtId="0" fontId="0" fillId="9" borderId="4" xfId="0" applyNumberForma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3" fillId="9" borderId="5" xfId="1" applyFill="1" applyBorder="1"/>
    <xf numFmtId="0" fontId="0" fillId="9" borderId="9" xfId="0" applyFill="1" applyBorder="1"/>
    <xf numFmtId="0" fontId="0" fillId="9" borderId="9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8" borderId="10" xfId="0" applyFont="1" applyFill="1" applyBorder="1"/>
    <xf numFmtId="0" fontId="1" fillId="8" borderId="7" xfId="0" applyFont="1" applyFill="1" applyBorder="1" applyAlignment="1">
      <alignment horizontal="center"/>
    </xf>
    <xf numFmtId="0" fontId="4" fillId="8" borderId="4" xfId="0" applyFont="1" applyFill="1" applyBorder="1"/>
    <xf numFmtId="0" fontId="0" fillId="9" borderId="12" xfId="0" applyNumberFormat="1" applyFill="1" applyBorder="1" applyAlignment="1">
      <alignment horizontal="center"/>
    </xf>
    <xf numFmtId="4" fontId="3" fillId="9" borderId="4" xfId="1" applyNumberFormat="1" applyFill="1" applyBorder="1"/>
    <xf numFmtId="0" fontId="0" fillId="9" borderId="12" xfId="0" applyFill="1" applyBorder="1" applyAlignment="1">
      <alignment horizontal="center"/>
    </xf>
    <xf numFmtId="0" fontId="11" fillId="8" borderId="4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/>
    <xf numFmtId="2" fontId="0" fillId="8" borderId="4" xfId="0" applyNumberFormat="1" applyFill="1" applyBorder="1"/>
    <xf numFmtId="0" fontId="0" fillId="9" borderId="4" xfId="0" applyFill="1" applyBorder="1" applyAlignment="1"/>
    <xf numFmtId="2" fontId="0" fillId="9" borderId="4" xfId="0" applyNumberFormat="1" applyFill="1" applyBorder="1" applyAlignment="1">
      <alignment horizontal="center"/>
    </xf>
    <xf numFmtId="2" fontId="0" fillId="9" borderId="4" xfId="0" applyNumberFormat="1" applyFill="1" applyBorder="1" applyAlignment="1"/>
    <xf numFmtId="0" fontId="0" fillId="9" borderId="9" xfId="0" applyFill="1" applyBorder="1" applyAlignment="1"/>
    <xf numFmtId="2" fontId="0" fillId="9" borderId="9" xfId="0" applyNumberFormat="1" applyFill="1" applyBorder="1" applyAlignment="1">
      <alignment horizontal="center"/>
    </xf>
    <xf numFmtId="2" fontId="0" fillId="9" borderId="9" xfId="0" applyNumberFormat="1" applyFill="1" applyBorder="1" applyAlignment="1"/>
    <xf numFmtId="0" fontId="12" fillId="8" borderId="4" xfId="0" applyFont="1" applyFill="1" applyBorder="1" applyAlignment="1">
      <alignment horizontal="left"/>
    </xf>
    <xf numFmtId="0" fontId="11" fillId="8" borderId="12" xfId="0" applyFont="1" applyFill="1" applyBorder="1" applyAlignment="1">
      <alignment vertical="center" wrapText="1"/>
    </xf>
    <xf numFmtId="0" fontId="11" fillId="8" borderId="11" xfId="0" applyFont="1" applyFill="1" applyBorder="1" applyAlignment="1">
      <alignment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10" fillId="8" borderId="4" xfId="0" applyFont="1" applyFill="1" applyBorder="1"/>
    <xf numFmtId="0" fontId="2" fillId="11" borderId="6" xfId="0" applyFont="1" applyFill="1" applyBorder="1"/>
    <xf numFmtId="0" fontId="4" fillId="11" borderId="6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4" fillId="11" borderId="3" xfId="0" applyFont="1" applyFill="1" applyBorder="1"/>
    <xf numFmtId="0" fontId="0" fillId="12" borderId="4" xfId="0" applyFill="1" applyBorder="1"/>
    <xf numFmtId="0" fontId="0" fillId="12" borderId="4" xfId="0" applyNumberFormat="1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3" fillId="12" borderId="5" xfId="1" applyFill="1" applyBorder="1"/>
    <xf numFmtId="0" fontId="0" fillId="12" borderId="9" xfId="0" applyFill="1" applyBorder="1"/>
    <xf numFmtId="0" fontId="0" fillId="12" borderId="9" xfId="0" applyNumberFormat="1" applyFill="1" applyBorder="1" applyAlignment="1">
      <alignment horizontal="center"/>
    </xf>
    <xf numFmtId="0" fontId="2" fillId="11" borderId="10" xfId="0" applyFont="1" applyFill="1" applyBorder="1"/>
    <xf numFmtId="0" fontId="1" fillId="11" borderId="7" xfId="0" applyFont="1" applyFill="1" applyBorder="1" applyAlignment="1">
      <alignment horizontal="center"/>
    </xf>
    <xf numFmtId="0" fontId="4" fillId="11" borderId="4" xfId="0" applyFont="1" applyFill="1" applyBorder="1"/>
    <xf numFmtId="0" fontId="0" fillId="12" borderId="12" xfId="0" applyNumberFormat="1" applyFill="1" applyBorder="1" applyAlignment="1">
      <alignment horizontal="center"/>
    </xf>
    <xf numFmtId="4" fontId="3" fillId="12" borderId="4" xfId="1" applyNumberFormat="1" applyFill="1" applyBorder="1"/>
    <xf numFmtId="0" fontId="0" fillId="12" borderId="12" xfId="0" applyFill="1" applyBorder="1" applyAlignment="1">
      <alignment horizontal="center"/>
    </xf>
    <xf numFmtId="0" fontId="11" fillId="11" borderId="4" xfId="0" applyFont="1" applyFill="1" applyBorder="1" applyAlignment="1">
      <alignment horizontal="center" vertical="center" wrapText="1"/>
    </xf>
    <xf numFmtId="0" fontId="0" fillId="12" borderId="4" xfId="0" applyFill="1" applyBorder="1" applyAlignment="1"/>
    <xf numFmtId="2" fontId="0" fillId="12" borderId="4" xfId="0" applyNumberFormat="1" applyFill="1" applyBorder="1" applyAlignment="1">
      <alignment horizontal="center"/>
    </xf>
    <xf numFmtId="2" fontId="0" fillId="12" borderId="4" xfId="0" applyNumberFormat="1" applyFill="1" applyBorder="1" applyAlignment="1"/>
    <xf numFmtId="0" fontId="0" fillId="12" borderId="9" xfId="0" applyFill="1" applyBorder="1" applyAlignment="1"/>
    <xf numFmtId="2" fontId="0" fillId="12" borderId="9" xfId="0" applyNumberFormat="1" applyFill="1" applyBorder="1" applyAlignment="1">
      <alignment horizontal="center"/>
    </xf>
    <xf numFmtId="2" fontId="0" fillId="12" borderId="9" xfId="0" applyNumberFormat="1" applyFill="1" applyBorder="1" applyAlignment="1"/>
    <xf numFmtId="0" fontId="10" fillId="11" borderId="4" xfId="0" applyFont="1" applyFill="1" applyBorder="1" applyAlignment="1"/>
    <xf numFmtId="2" fontId="0" fillId="11" borderId="4" xfId="0" applyNumberFormat="1" applyFill="1" applyBorder="1"/>
    <xf numFmtId="0" fontId="12" fillId="11" borderId="4" xfId="0" applyFont="1" applyFill="1" applyBorder="1" applyAlignment="1">
      <alignment horizontal="left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12" xfId="0" applyFont="1" applyFill="1" applyBorder="1" applyAlignment="1">
      <alignment vertical="center" wrapText="1"/>
    </xf>
    <xf numFmtId="0" fontId="11" fillId="14" borderId="11" xfId="0" applyFont="1" applyFill="1" applyBorder="1" applyAlignment="1">
      <alignment vertical="center" wrapText="1"/>
    </xf>
    <xf numFmtId="0" fontId="13" fillId="14" borderId="4" xfId="0" applyFont="1" applyFill="1" applyBorder="1" applyAlignment="1">
      <alignment horizontal="center" vertical="center" wrapText="1"/>
    </xf>
    <xf numFmtId="0" fontId="0" fillId="15" borderId="4" xfId="0" applyFill="1" applyBorder="1" applyAlignment="1"/>
    <xf numFmtId="2" fontId="0" fillId="15" borderId="4" xfId="0" applyNumberFormat="1" applyFill="1" applyBorder="1" applyAlignment="1"/>
    <xf numFmtId="0" fontId="0" fillId="15" borderId="9" xfId="0" applyFill="1" applyBorder="1" applyAlignment="1"/>
    <xf numFmtId="2" fontId="0" fillId="15" borderId="9" xfId="0" applyNumberFormat="1" applyFill="1" applyBorder="1" applyAlignment="1"/>
    <xf numFmtId="0" fontId="10" fillId="14" borderId="4" xfId="0" applyFont="1" applyFill="1" applyBorder="1"/>
    <xf numFmtId="2" fontId="0" fillId="14" borderId="4" xfId="0" applyNumberFormat="1" applyFill="1" applyBorder="1"/>
    <xf numFmtId="0" fontId="2" fillId="17" borderId="6" xfId="0" applyFont="1" applyFill="1" applyBorder="1"/>
    <xf numFmtId="0" fontId="4" fillId="17" borderId="6" xfId="0" applyFont="1" applyFill="1" applyBorder="1" applyAlignment="1">
      <alignment horizontal="center"/>
    </xf>
    <xf numFmtId="0" fontId="4" fillId="17" borderId="3" xfId="0" applyFont="1" applyFill="1" applyBorder="1" applyAlignment="1">
      <alignment horizontal="center"/>
    </xf>
    <xf numFmtId="0" fontId="4" fillId="17" borderId="3" xfId="0" applyFont="1" applyFill="1" applyBorder="1"/>
    <xf numFmtId="0" fontId="0" fillId="18" borderId="4" xfId="0" applyFill="1" applyBorder="1"/>
    <xf numFmtId="0" fontId="0" fillId="18" borderId="4" xfId="0" applyNumberFormat="1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3" fillId="18" borderId="5" xfId="1" applyFill="1" applyBorder="1"/>
    <xf numFmtId="0" fontId="0" fillId="18" borderId="9" xfId="0" applyFill="1" applyBorder="1"/>
    <xf numFmtId="0" fontId="0" fillId="18" borderId="9" xfId="0" applyNumberFormat="1" applyFill="1" applyBorder="1" applyAlignment="1">
      <alignment horizontal="center"/>
    </xf>
    <xf numFmtId="0" fontId="2" fillId="17" borderId="10" xfId="0" applyFont="1" applyFill="1" applyBorder="1"/>
    <xf numFmtId="0" fontId="1" fillId="17" borderId="7" xfId="0" applyFont="1" applyFill="1" applyBorder="1" applyAlignment="1">
      <alignment horizontal="center"/>
    </xf>
    <xf numFmtId="0" fontId="4" fillId="17" borderId="4" xfId="0" applyFont="1" applyFill="1" applyBorder="1"/>
    <xf numFmtId="0" fontId="0" fillId="18" borderId="12" xfId="0" applyNumberFormat="1" applyFill="1" applyBorder="1" applyAlignment="1">
      <alignment horizontal="center"/>
    </xf>
    <xf numFmtId="4" fontId="3" fillId="18" borderId="4" xfId="1" applyNumberFormat="1" applyFill="1" applyBorder="1"/>
    <xf numFmtId="0" fontId="0" fillId="18" borderId="12" xfId="0" applyFill="1" applyBorder="1" applyAlignment="1">
      <alignment horizontal="center"/>
    </xf>
    <xf numFmtId="0" fontId="11" fillId="17" borderId="4" xfId="0" applyFont="1" applyFill="1" applyBorder="1" applyAlignment="1">
      <alignment horizontal="center" vertical="center" wrapText="1"/>
    </xf>
    <xf numFmtId="0" fontId="0" fillId="18" borderId="4" xfId="0" applyFill="1" applyBorder="1" applyAlignment="1"/>
    <xf numFmtId="2" fontId="0" fillId="18" borderId="4" xfId="0" applyNumberFormat="1" applyFill="1" applyBorder="1" applyAlignment="1">
      <alignment horizontal="center"/>
    </xf>
    <xf numFmtId="2" fontId="0" fillId="18" borderId="4" xfId="0" applyNumberFormat="1" applyFill="1" applyBorder="1" applyAlignment="1"/>
    <xf numFmtId="0" fontId="0" fillId="18" borderId="9" xfId="0" applyFill="1" applyBorder="1" applyAlignment="1"/>
    <xf numFmtId="2" fontId="0" fillId="18" borderId="9" xfId="0" applyNumberFormat="1" applyFill="1" applyBorder="1" applyAlignment="1">
      <alignment horizontal="center"/>
    </xf>
    <xf numFmtId="2" fontId="0" fillId="18" borderId="9" xfId="0" applyNumberFormat="1" applyFill="1" applyBorder="1" applyAlignment="1"/>
    <xf numFmtId="0" fontId="10" fillId="17" borderId="4" xfId="0" applyFont="1" applyFill="1" applyBorder="1" applyAlignment="1"/>
    <xf numFmtId="2" fontId="0" fillId="17" borderId="4" xfId="0" applyNumberFormat="1" applyFill="1" applyBorder="1"/>
    <xf numFmtId="0" fontId="12" fillId="17" borderId="4" xfId="0" applyFont="1" applyFill="1" applyBorder="1" applyAlignment="1">
      <alignment horizontal="left"/>
    </xf>
    <xf numFmtId="0" fontId="0" fillId="19" borderId="4" xfId="0" applyFill="1" applyBorder="1" applyAlignment="1"/>
    <xf numFmtId="2" fontId="0" fillId="19" borderId="4" xfId="0" applyNumberFormat="1" applyFill="1" applyBorder="1" applyAlignment="1"/>
    <xf numFmtId="0" fontId="0" fillId="19" borderId="9" xfId="0" applyFill="1" applyBorder="1" applyAlignment="1"/>
    <xf numFmtId="2" fontId="0" fillId="19" borderId="9" xfId="0" applyNumberFormat="1" applyFill="1" applyBorder="1" applyAlignment="1"/>
    <xf numFmtId="0" fontId="11" fillId="21" borderId="4" xfId="0" applyFont="1" applyFill="1" applyBorder="1" applyAlignment="1">
      <alignment horizontal="center" vertical="center" wrapText="1"/>
    </xf>
    <xf numFmtId="0" fontId="11" fillId="21" borderId="12" xfId="0" applyFont="1" applyFill="1" applyBorder="1" applyAlignment="1">
      <alignment vertical="center" wrapText="1"/>
    </xf>
    <xf numFmtId="0" fontId="11" fillId="21" borderId="11" xfId="0" applyFont="1" applyFill="1" applyBorder="1" applyAlignment="1">
      <alignment vertical="center" wrapText="1"/>
    </xf>
    <xf numFmtId="0" fontId="13" fillId="21" borderId="4" xfId="0" applyFont="1" applyFill="1" applyBorder="1" applyAlignment="1">
      <alignment horizontal="center" vertical="center" wrapText="1"/>
    </xf>
    <xf numFmtId="0" fontId="10" fillId="21" borderId="4" xfId="0" applyFont="1" applyFill="1" applyBorder="1"/>
    <xf numFmtId="2" fontId="0" fillId="21" borderId="4" xfId="0" applyNumberFormat="1" applyFill="1" applyBorder="1"/>
    <xf numFmtId="0" fontId="2" fillId="24" borderId="4" xfId="0" applyFont="1" applyFill="1" applyBorder="1" applyAlignment="1">
      <alignment horizontal="center"/>
    </xf>
    <xf numFmtId="2" fontId="0" fillId="25" borderId="4" xfId="0" applyNumberFormat="1" applyFill="1" applyBorder="1" applyAlignment="1">
      <alignment horizontal="center"/>
    </xf>
    <xf numFmtId="0" fontId="2" fillId="24" borderId="4" xfId="0" applyFont="1" applyFill="1" applyBorder="1"/>
    <xf numFmtId="0" fontId="4" fillId="24" borderId="4" xfId="0" applyFont="1" applyFill="1" applyBorder="1"/>
    <xf numFmtId="0" fontId="0" fillId="25" borderId="4" xfId="0" applyFill="1" applyBorder="1"/>
    <xf numFmtId="0" fontId="0" fillId="25" borderId="4" xfId="0" applyFill="1" applyBorder="1" applyAlignment="1"/>
    <xf numFmtId="0" fontId="3" fillId="25" borderId="4" xfId="1" applyFill="1" applyBorder="1" applyAlignment="1"/>
    <xf numFmtId="0" fontId="3" fillId="25" borderId="4" xfId="1" applyFill="1" applyBorder="1"/>
    <xf numFmtId="0" fontId="14" fillId="23" borderId="4" xfId="0" applyFont="1" applyFill="1" applyBorder="1" applyAlignment="1">
      <alignment horizontal="center"/>
    </xf>
    <xf numFmtId="0" fontId="10" fillId="23" borderId="4" xfId="0" applyFont="1" applyFill="1" applyBorder="1" applyAlignment="1">
      <alignment horizontal="center"/>
    </xf>
    <xf numFmtId="0" fontId="17" fillId="4" borderId="4" xfId="0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/>
    </xf>
    <xf numFmtId="0" fontId="17" fillId="10" borderId="4" xfId="0" applyFont="1" applyFill="1" applyBorder="1" applyAlignment="1">
      <alignment horizontal="center"/>
    </xf>
    <xf numFmtId="0" fontId="17" fillId="16" borderId="4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9" fillId="22" borderId="4" xfId="0" applyFont="1" applyFill="1" applyBorder="1" applyAlignment="1">
      <alignment horizontal="center" vertical="center" wrapText="1"/>
    </xf>
    <xf numFmtId="0" fontId="20" fillId="22" borderId="4" xfId="0" applyFont="1" applyFill="1" applyBorder="1" applyAlignment="1">
      <alignment horizontal="center" vertical="center"/>
    </xf>
    <xf numFmtId="0" fontId="16" fillId="22" borderId="4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9" fillId="4" borderId="7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9" fillId="16" borderId="7" xfId="0" applyFont="1" applyFill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9" fillId="16" borderId="8" xfId="0" applyFont="1" applyFill="1" applyBorder="1" applyAlignment="1">
      <alignment horizontal="center" vertical="center" wrapText="1"/>
    </xf>
    <xf numFmtId="0" fontId="5" fillId="16" borderId="7" xfId="0" applyFont="1" applyFill="1" applyBorder="1" applyAlignment="1">
      <alignment horizontal="center" vertical="center" wrapText="1"/>
    </xf>
    <xf numFmtId="0" fontId="5" fillId="16" borderId="0" xfId="0" applyFont="1" applyFill="1" applyBorder="1" applyAlignment="1">
      <alignment horizontal="center" vertical="center" wrapText="1"/>
    </xf>
    <xf numFmtId="0" fontId="5" fillId="16" borderId="13" xfId="0" applyFont="1" applyFill="1" applyBorder="1" applyAlignment="1">
      <alignment horizontal="center" vertical="center" wrapText="1"/>
    </xf>
    <xf numFmtId="0" fontId="5" fillId="16" borderId="14" xfId="0" applyFont="1" applyFill="1" applyBorder="1" applyAlignment="1">
      <alignment horizontal="center" vertical="center" wrapText="1"/>
    </xf>
    <xf numFmtId="0" fontId="8" fillId="17" borderId="12" xfId="0" applyFont="1" applyFill="1" applyBorder="1" applyAlignment="1">
      <alignment horizontal="center"/>
    </xf>
    <xf numFmtId="0" fontId="8" fillId="17" borderId="11" xfId="0" applyFont="1" applyFill="1" applyBorder="1" applyAlignment="1">
      <alignment horizontal="center"/>
    </xf>
    <xf numFmtId="0" fontId="15" fillId="16" borderId="7" xfId="0" applyFont="1" applyFill="1" applyBorder="1" applyAlignment="1">
      <alignment horizontal="center" vertical="center" wrapText="1"/>
    </xf>
    <xf numFmtId="0" fontId="15" fillId="16" borderId="0" xfId="0" applyFont="1" applyFill="1" applyBorder="1" applyAlignment="1">
      <alignment horizontal="center" vertical="center" wrapText="1"/>
    </xf>
    <xf numFmtId="0" fontId="15" fillId="16" borderId="13" xfId="0" applyFont="1" applyFill="1" applyBorder="1" applyAlignment="1">
      <alignment horizontal="center" vertical="center" wrapText="1"/>
    </xf>
    <xf numFmtId="0" fontId="15" fillId="16" borderId="14" xfId="0" applyFont="1" applyFill="1" applyBorder="1" applyAlignment="1">
      <alignment horizontal="center" vertical="center" wrapText="1"/>
    </xf>
    <xf numFmtId="0" fontId="9" fillId="20" borderId="7" xfId="0" applyFont="1" applyFill="1" applyBorder="1" applyAlignment="1">
      <alignment horizontal="center" vertical="center" wrapText="1"/>
    </xf>
    <xf numFmtId="0" fontId="9" fillId="20" borderId="0" xfId="0" applyFont="1" applyFill="1" applyBorder="1" applyAlignment="1">
      <alignment horizontal="center" vertical="center" wrapText="1"/>
    </xf>
    <xf numFmtId="0" fontId="9" fillId="20" borderId="13" xfId="0" applyFont="1" applyFill="1" applyBorder="1" applyAlignment="1">
      <alignment horizontal="center" vertical="center" wrapText="1"/>
    </xf>
    <xf numFmtId="0" fontId="9" fillId="20" borderId="14" xfId="0" applyFont="1" applyFill="1" applyBorder="1" applyAlignment="1">
      <alignment horizontal="center" vertical="center" wrapText="1"/>
    </xf>
    <xf numFmtId="2" fontId="0" fillId="19" borderId="12" xfId="0" applyNumberFormat="1" applyFill="1" applyBorder="1" applyAlignment="1">
      <alignment horizontal="center"/>
    </xf>
    <xf numFmtId="2" fontId="0" fillId="19" borderId="11" xfId="0" applyNumberFormat="1" applyFill="1" applyBorder="1" applyAlignment="1">
      <alignment horizontal="center"/>
    </xf>
    <xf numFmtId="0" fontId="0" fillId="21" borderId="12" xfId="0" applyFill="1" applyBorder="1" applyAlignment="1">
      <alignment horizontal="center"/>
    </xf>
    <xf numFmtId="0" fontId="0" fillId="21" borderId="11" xfId="0" applyFill="1" applyBorder="1" applyAlignment="1">
      <alignment horizontal="center"/>
    </xf>
    <xf numFmtId="0" fontId="9" fillId="10" borderId="7" xfId="0" applyFont="1" applyFill="1" applyBorder="1" applyAlignment="1">
      <alignment horizontal="center" vertical="center" wrapText="1"/>
    </xf>
    <xf numFmtId="0" fontId="9" fillId="10" borderId="0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10" borderId="0" xfId="0" applyFont="1" applyFill="1" applyBorder="1" applyAlignment="1">
      <alignment horizontal="center" vertical="center" wrapText="1"/>
    </xf>
    <xf numFmtId="0" fontId="5" fillId="10" borderId="13" xfId="0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center" vertical="center" wrapText="1"/>
    </xf>
    <xf numFmtId="0" fontId="8" fillId="11" borderId="12" xfId="0" applyFont="1" applyFill="1" applyBorder="1" applyAlignment="1">
      <alignment horizontal="center"/>
    </xf>
    <xf numFmtId="0" fontId="8" fillId="11" borderId="11" xfId="0" applyFont="1" applyFill="1" applyBorder="1" applyAlignment="1">
      <alignment horizontal="center"/>
    </xf>
    <xf numFmtId="0" fontId="15" fillId="10" borderId="7" xfId="0" applyFont="1" applyFill="1" applyBorder="1" applyAlignment="1">
      <alignment horizontal="center" vertical="center" wrapText="1"/>
    </xf>
    <xf numFmtId="0" fontId="15" fillId="10" borderId="0" xfId="0" applyFont="1" applyFill="1" applyBorder="1" applyAlignment="1">
      <alignment horizontal="center" vertical="center" wrapText="1"/>
    </xf>
    <xf numFmtId="0" fontId="15" fillId="10" borderId="13" xfId="0" applyFont="1" applyFill="1" applyBorder="1" applyAlignment="1">
      <alignment horizontal="center" vertical="center" wrapText="1"/>
    </xf>
    <xf numFmtId="0" fontId="15" fillId="10" borderId="14" xfId="0" applyFont="1" applyFill="1" applyBorder="1" applyAlignment="1">
      <alignment horizontal="center" vertical="center" wrapText="1"/>
    </xf>
    <xf numFmtId="0" fontId="9" fillId="13" borderId="7" xfId="0" applyFont="1" applyFill="1" applyBorder="1" applyAlignment="1">
      <alignment horizontal="center" vertical="center" wrapText="1"/>
    </xf>
    <xf numFmtId="0" fontId="9" fillId="13" borderId="0" xfId="0" applyFont="1" applyFill="1" applyBorder="1" applyAlignment="1">
      <alignment horizontal="center" vertical="center" wrapText="1"/>
    </xf>
    <xf numFmtId="0" fontId="9" fillId="13" borderId="13" xfId="0" applyFont="1" applyFill="1" applyBorder="1" applyAlignment="1">
      <alignment horizontal="center" vertical="center" wrapText="1"/>
    </xf>
    <xf numFmtId="0" fontId="9" fillId="13" borderId="14" xfId="0" applyFont="1" applyFill="1" applyBorder="1" applyAlignment="1">
      <alignment horizontal="center" vertical="center" wrapText="1"/>
    </xf>
    <xf numFmtId="2" fontId="0" fillId="15" borderId="12" xfId="0" applyNumberFormat="1" applyFill="1" applyBorder="1" applyAlignment="1">
      <alignment horizontal="center"/>
    </xf>
    <xf numFmtId="2" fontId="0" fillId="15" borderId="11" xfId="0" applyNumberFormat="1" applyFill="1" applyBorder="1" applyAlignment="1">
      <alignment horizontal="center"/>
    </xf>
    <xf numFmtId="0" fontId="9" fillId="23" borderId="12" xfId="0" applyFont="1" applyFill="1" applyBorder="1" applyAlignment="1">
      <alignment horizontal="center" vertical="center"/>
    </xf>
    <xf numFmtId="0" fontId="9" fillId="23" borderId="15" xfId="0" applyFont="1" applyFill="1" applyBorder="1" applyAlignment="1">
      <alignment horizontal="center" vertical="center"/>
    </xf>
    <xf numFmtId="0" fontId="9" fillId="23" borderId="11" xfId="0" applyFont="1" applyFill="1" applyBorder="1" applyAlignment="1">
      <alignment horizontal="center" vertical="center"/>
    </xf>
    <xf numFmtId="0" fontId="18" fillId="22" borderId="0" xfId="0" applyFont="1" applyFill="1" applyAlignment="1">
      <alignment horizontal="center"/>
    </xf>
    <xf numFmtId="0" fontId="17" fillId="22" borderId="0" xfId="0" applyFont="1" applyFill="1" applyAlignment="1">
      <alignment horizontal="center"/>
    </xf>
    <xf numFmtId="0" fontId="15" fillId="4" borderId="7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21" fillId="22" borderId="0" xfId="0" applyFont="1" applyFill="1" applyAlignment="1">
      <alignment horizontal="center"/>
    </xf>
    <xf numFmtId="0" fontId="0" fillId="22" borderId="0" xfId="0" applyFill="1" applyAlignment="1">
      <alignment horizontal="center"/>
    </xf>
    <xf numFmtId="0" fontId="8" fillId="8" borderId="12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 vertical="center" wrapText="1"/>
    </xf>
    <xf numFmtId="0" fontId="9" fillId="7" borderId="0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2" fontId="0" fillId="9" borderId="12" xfId="0" applyNumberFormat="1" applyFill="1" applyBorder="1" applyAlignment="1">
      <alignment horizontal="center"/>
    </xf>
    <xf numFmtId="2" fontId="0" fillId="9" borderId="11" xfId="0" applyNumberFormat="1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9" fillId="7" borderId="2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5" fillId="7" borderId="0" xfId="0" applyFont="1" applyFill="1" applyBorder="1" applyAlignment="1">
      <alignment horizontal="center" vertical="center" wrapText="1"/>
    </xf>
    <xf numFmtId="0" fontId="15" fillId="7" borderId="13" xfId="0" applyFont="1" applyFill="1" applyBorder="1" applyAlignment="1">
      <alignment horizontal="center" vertical="center" wrapText="1"/>
    </xf>
    <xf numFmtId="0" fontId="15" fillId="7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[Net_Working_Capital_Excel.xlsx]Charts NWC!PivotTable1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NWC'!$B$3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'Charts NWC'!$A$4:$A$8</c:f>
              <c:strCache>
                <c:ptCount val="4"/>
                <c:pt idx="0">
                  <c:v>Adidas</c:v>
                </c:pt>
                <c:pt idx="1">
                  <c:v>Lululemon</c:v>
                </c:pt>
                <c:pt idx="2">
                  <c:v>Nike </c:v>
                </c:pt>
                <c:pt idx="3">
                  <c:v>Puma</c:v>
                </c:pt>
              </c:strCache>
            </c:strRef>
          </c:cat>
          <c:val>
            <c:numRef>
              <c:f>'Charts NWC'!$B$4:$B$8</c:f>
              <c:numCache>
                <c:formatCode>0.00</c:formatCode>
                <c:ptCount val="4"/>
                <c:pt idx="0">
                  <c:v>1.2536547260350408</c:v>
                </c:pt>
                <c:pt idx="1">
                  <c:v>2.1636416018438491</c:v>
                </c:pt>
                <c:pt idx="2">
                  <c:v>2.2110543251940187</c:v>
                </c:pt>
                <c:pt idx="3">
                  <c:v>1.2313409370265558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A-4C0D-9547-4A0B92CF7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808480296"/>
        <c:axId val="808478136"/>
      </c:barChart>
      <c:catAx>
        <c:axId val="80848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78136"/>
        <c:crosses val="autoZero"/>
        <c:auto val="1"/>
        <c:lblAlgn val="ctr"/>
        <c:lblOffset val="100"/>
        <c:noMultiLvlLbl val="0"/>
      </c:catAx>
      <c:valAx>
        <c:axId val="80847813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80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[Net_Working_Capital_Excel.xlsx]Charts NWC!PivotTable2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NWC'!$B$11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'Charts NWC'!$A$12:$A$16</c:f>
              <c:strCache>
                <c:ptCount val="4"/>
                <c:pt idx="0">
                  <c:v>Adidas</c:v>
                </c:pt>
                <c:pt idx="1">
                  <c:v>Lululemon</c:v>
                </c:pt>
                <c:pt idx="2">
                  <c:v>Nike </c:v>
                </c:pt>
                <c:pt idx="3">
                  <c:v>Puma</c:v>
                </c:pt>
              </c:strCache>
            </c:strRef>
          </c:cat>
          <c:val>
            <c:numRef>
              <c:f>'Charts NWC'!$B$12:$B$16</c:f>
              <c:numCache>
                <c:formatCode>0.00</c:formatCode>
                <c:ptCount val="4"/>
                <c:pt idx="0">
                  <c:v>0.70656176765985934</c:v>
                </c:pt>
                <c:pt idx="1">
                  <c:v>1.4119415317210526</c:v>
                </c:pt>
                <c:pt idx="2">
                  <c:v>1.5008517887563884</c:v>
                </c:pt>
                <c:pt idx="3">
                  <c:v>0.63590887002258245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B-406F-AA02-DD67961ED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04299640"/>
        <c:axId val="504302520"/>
      </c:barChart>
      <c:catAx>
        <c:axId val="504299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302520"/>
        <c:crosses val="autoZero"/>
        <c:auto val="1"/>
        <c:lblAlgn val="ctr"/>
        <c:lblOffset val="100"/>
        <c:noMultiLvlLbl val="0"/>
      </c:catAx>
      <c:valAx>
        <c:axId val="50430252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99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[Net_Working_Capital_Excel.xlsx]Charts NWC!PivotTable5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NWC'!$B$19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'Charts NWC'!$A$20:$A$24</c:f>
              <c:strCache>
                <c:ptCount val="4"/>
                <c:pt idx="0">
                  <c:v>Adidas</c:v>
                </c:pt>
                <c:pt idx="1">
                  <c:v>Lululemon</c:v>
                </c:pt>
                <c:pt idx="2">
                  <c:v>Nike </c:v>
                </c:pt>
                <c:pt idx="3">
                  <c:v>Puma</c:v>
                </c:pt>
              </c:strCache>
            </c:strRef>
          </c:cat>
          <c:val>
            <c:numRef>
              <c:f>'Charts NWC'!$B$20:$B$24</c:f>
              <c:numCache>
                <c:formatCode>0.00</c:formatCode>
                <c:ptCount val="4"/>
                <c:pt idx="0">
                  <c:v>8.5704720455306332E-2</c:v>
                </c:pt>
                <c:pt idx="1">
                  <c:v>1.0786625571446431</c:v>
                </c:pt>
                <c:pt idx="2">
                  <c:v>0.70641680863145939</c:v>
                </c:pt>
                <c:pt idx="3">
                  <c:v>8.3640625446645522E-2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B-4123-ACF6-45FD688BD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964879248"/>
        <c:axId val="964880688"/>
      </c:barChart>
      <c:catAx>
        <c:axId val="96487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880688"/>
        <c:crosses val="autoZero"/>
        <c:auto val="1"/>
        <c:lblAlgn val="ctr"/>
        <c:lblOffset val="100"/>
        <c:noMultiLvlLbl val="0"/>
      </c:catAx>
      <c:valAx>
        <c:axId val="96488068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87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[Net_Working_Capital_Excel.xlsx]Charts NWC!PivotTable7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NWC'!$K$3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'Charts NWC'!$J$4:$J$8</c:f>
              <c:strCache>
                <c:ptCount val="4"/>
                <c:pt idx="0">
                  <c:v>Adidas</c:v>
                </c:pt>
                <c:pt idx="1">
                  <c:v>Lululemon</c:v>
                </c:pt>
                <c:pt idx="2">
                  <c:v>Nike </c:v>
                </c:pt>
                <c:pt idx="3">
                  <c:v>Puma</c:v>
                </c:pt>
              </c:strCache>
            </c:strRef>
          </c:cat>
          <c:val>
            <c:numRef>
              <c:f>'Charts NWC'!$K$4:$K$8</c:f>
              <c:numCache>
                <c:formatCode>0.00</c:formatCode>
                <c:ptCount val="4"/>
                <c:pt idx="0">
                  <c:v>396.29686597245762</c:v>
                </c:pt>
                <c:pt idx="1">
                  <c:v>121.1340313301058</c:v>
                </c:pt>
                <c:pt idx="2">
                  <c:v>139.31868900807314</c:v>
                </c:pt>
                <c:pt idx="3">
                  <c:v>469.94483103611134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E-46C4-A9AA-2A8E6CC98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803322040"/>
        <c:axId val="803321320"/>
      </c:barChart>
      <c:catAx>
        <c:axId val="80332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321320"/>
        <c:crosses val="autoZero"/>
        <c:auto val="1"/>
        <c:lblAlgn val="ctr"/>
        <c:lblOffset val="100"/>
        <c:noMultiLvlLbl val="0"/>
      </c:catAx>
      <c:valAx>
        <c:axId val="80332132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32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[Net_Working_Capital_Excel.xlsx]Charts NWC!PivotTable8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NWC'!$K$12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'Charts NWC'!$J$13:$J$17</c:f>
              <c:strCache>
                <c:ptCount val="4"/>
                <c:pt idx="0">
                  <c:v>Adidas</c:v>
                </c:pt>
                <c:pt idx="1">
                  <c:v>Lululemon</c:v>
                </c:pt>
                <c:pt idx="2">
                  <c:v>Nike </c:v>
                </c:pt>
                <c:pt idx="3">
                  <c:v>Puma</c:v>
                </c:pt>
              </c:strCache>
            </c:strRef>
          </c:cat>
          <c:val>
            <c:numRef>
              <c:f>'Charts NWC'!$K$13:$K$17</c:f>
              <c:numCache>
                <c:formatCode>0.00</c:formatCode>
                <c:ptCount val="4"/>
                <c:pt idx="0">
                  <c:v>230.12564838702056</c:v>
                </c:pt>
                <c:pt idx="1">
                  <c:v>94.933975739806314</c:v>
                </c:pt>
                <c:pt idx="2">
                  <c:v>95.756526030585292</c:v>
                </c:pt>
                <c:pt idx="3">
                  <c:v>180.45914334702593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C-41F2-AB6C-C1B0C0432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805772288"/>
        <c:axId val="805774448"/>
      </c:barChart>
      <c:catAx>
        <c:axId val="80577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774448"/>
        <c:crosses val="autoZero"/>
        <c:auto val="1"/>
        <c:lblAlgn val="ctr"/>
        <c:lblOffset val="100"/>
        <c:noMultiLvlLbl val="0"/>
      </c:catAx>
      <c:valAx>
        <c:axId val="80577444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7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[Net_Working_Capital_Excel.xlsx]Charts NWC!PivotTable9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Working 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NWC'!$K$21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'Charts NWC'!$J$22:$J$26</c:f>
              <c:strCache>
                <c:ptCount val="4"/>
                <c:pt idx="0">
                  <c:v>Adidas</c:v>
                </c:pt>
                <c:pt idx="1">
                  <c:v>Lululemon</c:v>
                </c:pt>
                <c:pt idx="2">
                  <c:v>Nike </c:v>
                </c:pt>
                <c:pt idx="3">
                  <c:v>Puma</c:v>
                </c:pt>
              </c:strCache>
            </c:strRef>
          </c:cat>
          <c:val>
            <c:numRef>
              <c:f>'Charts NWC'!$K$22:$K$26</c:f>
              <c:numCache>
                <c:formatCode>0.00</c:formatCode>
                <c:ptCount val="4"/>
                <c:pt idx="0">
                  <c:v>2273</c:v>
                </c:pt>
                <c:pt idx="1">
                  <c:v>2140.67</c:v>
                </c:pt>
                <c:pt idx="2">
                  <c:v>12796</c:v>
                </c:pt>
                <c:pt idx="3">
                  <c:v>809.30000000000018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4-4D41-9894-71B8ED7E5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964485376"/>
        <c:axId val="1039888096"/>
      </c:barChart>
      <c:catAx>
        <c:axId val="96448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888096"/>
        <c:crosses val="autoZero"/>
        <c:auto val="1"/>
        <c:lblAlgn val="ctr"/>
        <c:lblOffset val="100"/>
        <c:noMultiLvlLbl val="0"/>
      </c:catAx>
      <c:valAx>
        <c:axId val="103988809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48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107295</xdr:colOff>
      <xdr:row>39</xdr:row>
      <xdr:rowOff>100018</xdr:rowOff>
    </xdr:from>
    <xdr:to>
      <xdr:col>2</xdr:col>
      <xdr:colOff>1470345</xdr:colOff>
      <xdr:row>39</xdr:row>
      <xdr:rowOff>110207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264646D-B8A3-4C78-47A1-0B711095D399}"/>
            </a:ext>
          </a:extLst>
        </xdr:cNvPr>
        <xdr:cNvCxnSpPr/>
      </xdr:nvCxnSpPr>
      <xdr:spPr>
        <a:xfrm flipV="1">
          <a:off x="1416983" y="4440838"/>
          <a:ext cx="3496253" cy="10189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79375</xdr:colOff>
      <xdr:row>46</xdr:row>
      <xdr:rowOff>104180</xdr:rowOff>
    </xdr:from>
    <xdr:to>
      <xdr:col>2</xdr:col>
      <xdr:colOff>1442425</xdr:colOff>
      <xdr:row>46</xdr:row>
      <xdr:rowOff>114369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21513FE-6992-4E7C-BFBC-D867B1567116}"/>
            </a:ext>
          </a:extLst>
        </xdr:cNvPr>
        <xdr:cNvCxnSpPr/>
      </xdr:nvCxnSpPr>
      <xdr:spPr>
        <a:xfrm flipV="1">
          <a:off x="1389063" y="5749727"/>
          <a:ext cx="3496253" cy="10189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99515</xdr:colOff>
      <xdr:row>54</xdr:row>
      <xdr:rowOff>94776</xdr:rowOff>
    </xdr:from>
    <xdr:to>
      <xdr:col>2</xdr:col>
      <xdr:colOff>1462565</xdr:colOff>
      <xdr:row>54</xdr:row>
      <xdr:rowOff>104965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A108762-27B7-457C-BD46-B3CA599F3EC4}"/>
            </a:ext>
          </a:extLst>
        </xdr:cNvPr>
        <xdr:cNvCxnSpPr/>
      </xdr:nvCxnSpPr>
      <xdr:spPr>
        <a:xfrm flipV="1">
          <a:off x="1483246" y="7278806"/>
          <a:ext cx="3495513" cy="10189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107295</xdr:colOff>
      <xdr:row>39</xdr:row>
      <xdr:rowOff>100018</xdr:rowOff>
    </xdr:from>
    <xdr:to>
      <xdr:col>7</xdr:col>
      <xdr:colOff>1470345</xdr:colOff>
      <xdr:row>39</xdr:row>
      <xdr:rowOff>110207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75D1852-F811-421D-95F0-47DD9187F38F}"/>
            </a:ext>
          </a:extLst>
        </xdr:cNvPr>
        <xdr:cNvCxnSpPr/>
      </xdr:nvCxnSpPr>
      <xdr:spPr>
        <a:xfrm flipV="1">
          <a:off x="1462594" y="6222555"/>
          <a:ext cx="4158945" cy="10189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79375</xdr:colOff>
      <xdr:row>46</xdr:row>
      <xdr:rowOff>104180</xdr:rowOff>
    </xdr:from>
    <xdr:to>
      <xdr:col>7</xdr:col>
      <xdr:colOff>1442425</xdr:colOff>
      <xdr:row>46</xdr:row>
      <xdr:rowOff>114369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53CE323-9BDB-4A1F-96BA-A4FB9B6B03EE}"/>
            </a:ext>
          </a:extLst>
        </xdr:cNvPr>
        <xdr:cNvCxnSpPr/>
      </xdr:nvCxnSpPr>
      <xdr:spPr>
        <a:xfrm flipV="1">
          <a:off x="1434674" y="7657837"/>
          <a:ext cx="4158945" cy="10189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99515</xdr:colOff>
      <xdr:row>54</xdr:row>
      <xdr:rowOff>94776</xdr:rowOff>
    </xdr:from>
    <xdr:to>
      <xdr:col>7</xdr:col>
      <xdr:colOff>1462565</xdr:colOff>
      <xdr:row>54</xdr:row>
      <xdr:rowOff>104965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151200E-66F2-4EBF-9AAB-30C6D7C57F75}"/>
            </a:ext>
          </a:extLst>
        </xdr:cNvPr>
        <xdr:cNvCxnSpPr/>
      </xdr:nvCxnSpPr>
      <xdr:spPr>
        <a:xfrm flipV="1">
          <a:off x="1462442" y="9325508"/>
          <a:ext cx="4150855" cy="10189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107295</xdr:colOff>
      <xdr:row>39</xdr:row>
      <xdr:rowOff>100018</xdr:rowOff>
    </xdr:from>
    <xdr:to>
      <xdr:col>12</xdr:col>
      <xdr:colOff>1470345</xdr:colOff>
      <xdr:row>39</xdr:row>
      <xdr:rowOff>110207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2277B6D-0D2C-4827-B24D-4D3E1D694A1C}"/>
            </a:ext>
          </a:extLst>
        </xdr:cNvPr>
        <xdr:cNvCxnSpPr/>
      </xdr:nvCxnSpPr>
      <xdr:spPr>
        <a:xfrm flipV="1">
          <a:off x="11304030" y="6190834"/>
          <a:ext cx="4538050" cy="10189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79375</xdr:colOff>
      <xdr:row>46</xdr:row>
      <xdr:rowOff>104180</xdr:rowOff>
    </xdr:from>
    <xdr:to>
      <xdr:col>12</xdr:col>
      <xdr:colOff>1442425</xdr:colOff>
      <xdr:row>46</xdr:row>
      <xdr:rowOff>114369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D7E35D7D-D5E5-4428-BF01-17899B42A28B}"/>
            </a:ext>
          </a:extLst>
        </xdr:cNvPr>
        <xdr:cNvCxnSpPr/>
      </xdr:nvCxnSpPr>
      <xdr:spPr>
        <a:xfrm flipV="1">
          <a:off x="11276542" y="7427847"/>
          <a:ext cx="4548633" cy="10189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99515</xdr:colOff>
      <xdr:row>54</xdr:row>
      <xdr:rowOff>94776</xdr:rowOff>
    </xdr:from>
    <xdr:to>
      <xdr:col>12</xdr:col>
      <xdr:colOff>1462565</xdr:colOff>
      <xdr:row>54</xdr:row>
      <xdr:rowOff>104965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6E36F89-1ABD-404B-9985-ACD1250A42D8}"/>
            </a:ext>
          </a:extLst>
        </xdr:cNvPr>
        <xdr:cNvCxnSpPr/>
      </xdr:nvCxnSpPr>
      <xdr:spPr>
        <a:xfrm flipV="1">
          <a:off x="11296682" y="8878943"/>
          <a:ext cx="4548633" cy="10189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107295</xdr:colOff>
      <xdr:row>39</xdr:row>
      <xdr:rowOff>100018</xdr:rowOff>
    </xdr:from>
    <xdr:to>
      <xdr:col>17</xdr:col>
      <xdr:colOff>1470345</xdr:colOff>
      <xdr:row>39</xdr:row>
      <xdr:rowOff>110207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D3244E10-D84B-4A3A-921B-A42ED980C53E}"/>
            </a:ext>
          </a:extLst>
        </xdr:cNvPr>
        <xdr:cNvCxnSpPr/>
      </xdr:nvCxnSpPr>
      <xdr:spPr>
        <a:xfrm flipV="1">
          <a:off x="20416885" y="6377149"/>
          <a:ext cx="4621329" cy="10189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79375</xdr:colOff>
      <xdr:row>46</xdr:row>
      <xdr:rowOff>104180</xdr:rowOff>
    </xdr:from>
    <xdr:to>
      <xdr:col>17</xdr:col>
      <xdr:colOff>1442425</xdr:colOff>
      <xdr:row>46</xdr:row>
      <xdr:rowOff>114369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5DC52B0-29C9-4E30-AAE9-48F4C3E8018A}"/>
            </a:ext>
          </a:extLst>
        </xdr:cNvPr>
        <xdr:cNvCxnSpPr/>
      </xdr:nvCxnSpPr>
      <xdr:spPr>
        <a:xfrm flipV="1">
          <a:off x="20375261" y="7587534"/>
          <a:ext cx="4618430" cy="10189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99515</xdr:colOff>
      <xdr:row>54</xdr:row>
      <xdr:rowOff>94776</xdr:rowOff>
    </xdr:from>
    <xdr:to>
      <xdr:col>17</xdr:col>
      <xdr:colOff>1462565</xdr:colOff>
      <xdr:row>54</xdr:row>
      <xdr:rowOff>104965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F1A4A807-5C86-4694-B5A4-4F98245C5B87}"/>
            </a:ext>
          </a:extLst>
        </xdr:cNvPr>
        <xdr:cNvCxnSpPr/>
      </xdr:nvCxnSpPr>
      <xdr:spPr>
        <a:xfrm flipV="1">
          <a:off x="20395401" y="9073194"/>
          <a:ext cx="4618430" cy="10189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536575</xdr:colOff>
      <xdr:row>1</xdr:row>
      <xdr:rowOff>88900</xdr:rowOff>
    </xdr:from>
    <xdr:to>
      <xdr:col>7</xdr:col>
      <xdr:colOff>273050</xdr:colOff>
      <xdr:row>14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675F78-CC0E-F2BC-3673-5728C3C16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549275</xdr:colOff>
      <xdr:row>15</xdr:row>
      <xdr:rowOff>31750</xdr:rowOff>
    </xdr:from>
    <xdr:to>
      <xdr:col>8</xdr:col>
      <xdr:colOff>6350</xdr:colOff>
      <xdr:row>28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805BA8-3682-3CD4-DA89-DE5D54502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498257</xdr:colOff>
      <xdr:row>29</xdr:row>
      <xdr:rowOff>25400</xdr:rowOff>
    </xdr:from>
    <xdr:to>
      <xdr:col>8</xdr:col>
      <xdr:colOff>0</xdr:colOff>
      <xdr:row>39</xdr:row>
      <xdr:rowOff>153276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EA02BC3-B1D2-8753-A16B-A86CB8109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602602</xdr:colOff>
      <xdr:row>1</xdr:row>
      <xdr:rowOff>174948</xdr:rowOff>
    </xdr:from>
    <xdr:to>
      <xdr:col>16</xdr:col>
      <xdr:colOff>265663</xdr:colOff>
      <xdr:row>13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719185-37F8-8F3E-604F-5FB5332D6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583162</xdr:colOff>
      <xdr:row>13</xdr:row>
      <xdr:rowOff>155511</xdr:rowOff>
    </xdr:from>
    <xdr:to>
      <xdr:col>16</xdr:col>
      <xdr:colOff>300004</xdr:colOff>
      <xdr:row>26</xdr:row>
      <xdr:rowOff>17365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765B187-6369-3F23-C545-D4693FDA6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570815</xdr:colOff>
      <xdr:row>26</xdr:row>
      <xdr:rowOff>176537</xdr:rowOff>
    </xdr:from>
    <xdr:to>
      <xdr:col>16</xdr:col>
      <xdr:colOff>275567</xdr:colOff>
      <xdr:row>39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DEF88FC-C59B-6162-781D-11F6E1A7A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077368055558" createdVersion="8" refreshedVersion="8" minRefreshableVersion="3" recordCount="4" xr:uid="{BD72EC23-E081-43CA-85D5-F9E675FF23B2}">
  <cacheSource type="worksheet">
    <worksheetSource ref="F3:R7" sheet="Net Working Capital"/>
  </cacheSource>
  <cacheFields count="13">
    <cacheField name="Company " numFmtId="0">
      <sharedItems count="4">
        <s v="Lululemon"/>
        <s v="Nike "/>
        <s v="Adidas"/>
        <s v="Puma"/>
      </sharedItems>
    </cacheField>
    <cacheField name="Current ratio " numFmtId="2">
      <sharedItems containsSemiMixedTypes="0" containsString="0" containsNumber="1" minValue="1.2313409370265558" maxValue="2.2110543251940187"/>
    </cacheField>
    <cacheField name="Quick ratio " numFmtId="2">
      <sharedItems containsSemiMixedTypes="0" containsString="0" containsNumber="1" minValue="0.63590887002258245" maxValue="1.5008517887563884"/>
    </cacheField>
    <cacheField name="Cash ratio " numFmtId="2">
      <sharedItems containsSemiMixedTypes="0" containsString="0" containsNumber="1" minValue="8.3640625446645522E-2" maxValue="1.0786625571446431" count="4">
        <n v="1.0786625571446431"/>
        <n v="0.70641680863145939"/>
        <n v="8.5704720455306332E-2"/>
        <n v="8.3640625446645522E-2"/>
      </sharedItems>
    </cacheField>
    <cacheField name="Receivables turnover" numFmtId="2">
      <sharedItems containsSemiMixedTypes="0" containsString="0" containsNumber="1" minValue="3.1445900997847778" maxValue="86.432653061224485"/>
    </cacheField>
    <cacheField name="Payables turnover" numFmtId="2">
      <sharedItems containsSemiMixedTypes="0" containsString="0" containsNumber="1" minValue="1.260856807511737" maxValue="13.931268151016459"/>
    </cacheField>
    <cacheField name="Inventory turnover" numFmtId="2">
      <sharedItems containsSemiMixedTypes="0" containsString="0" containsNumber="1" minValue="1.0314450312049928" maxValue="3.5339818763326227"/>
    </cacheField>
    <cacheField name="Receivables period" numFmtId="2">
      <sharedItems containsSemiMixedTypes="0" containsString="0" containsNumber="1" minValue="4.2229410653570083" maxValue="116.07236187157791"/>
    </cacheField>
    <cacheField name="Payables period" numFmtId="2">
      <sharedItems containsSemiMixedTypes="0" containsString="0" containsNumber="1" minValue="26.200055590299488" maxValue="289.48568768908541"/>
    </cacheField>
    <cacheField name="Inventory period" numFmtId="2">
      <sharedItems containsSemiMixedTypes="0" containsString="0" containsNumber="1" minValue="103.28292922055884" maxValue="353.87246916453341"/>
    </cacheField>
    <cacheField name="Operating cycle" numFmtId="2">
      <sharedItems containsSemiMixedTypes="0" containsString="0" containsNumber="1" minValue="121.1340313301058" maxValue="469.94483103611134"/>
    </cacheField>
    <cacheField name="Cash cycle" numFmtId="2">
      <sharedItems containsSemiMixedTypes="0" containsString="0" containsNumber="1" minValue="94.933975739806314" maxValue="230.12564838702056"/>
    </cacheField>
    <cacheField name="Net working capital" numFmtId="2">
      <sharedItems containsSemiMixedTypes="0" containsString="0" containsNumber="1" minValue="809.30000000000018" maxValue="127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.1636416018438491"/>
    <n v="1.4119415317210526"/>
    <x v="0"/>
    <n v="86.432653061224485"/>
    <n v="13.931268151016459"/>
    <n v="3.1220305890009765"/>
    <n v="4.2229410653570083"/>
    <n v="26.200055590299488"/>
    <n v="116.91109026474879"/>
    <n v="121.1340313301058"/>
    <n v="94.933975739806314"/>
    <n v="2140.67"/>
  </r>
  <r>
    <x v="1"/>
    <n v="2.2110543251940187"/>
    <n v="1.5008517887563884"/>
    <x v="1"/>
    <n v="10.128827646544181"/>
    <n v="8.3788309636650862"/>
    <n v="3.5339818763326227"/>
    <n v="36.035759787514309"/>
    <n v="43.562162977487844"/>
    <n v="103.28292922055884"/>
    <n v="139.31868900807314"/>
    <n v="95.756526030585292"/>
    <n v="12796"/>
  </r>
  <r>
    <x v="2"/>
    <n v="1.2536547260350408"/>
    <n v="0.70656176765985934"/>
    <x v="2"/>
    <n v="4.1013044214806031"/>
    <n v="2.1965296114673709"/>
    <n v="1.1877613462519123"/>
    <n v="88.996076001652213"/>
    <n v="166.17121758543706"/>
    <n v="307.3007899708054"/>
    <n v="396.29686597245762"/>
    <n v="230.12564838702056"/>
    <n v="2273"/>
  </r>
  <r>
    <x v="3"/>
    <n v="1.2313409370265558"/>
    <n v="0.63590887002258245"/>
    <x v="3"/>
    <n v="3.1445900997847778"/>
    <n v="1.260856807511737"/>
    <n v="1.0314450312049928"/>
    <n v="116.07236187157791"/>
    <n v="289.48568768908541"/>
    <n v="353.87246916453341"/>
    <n v="469.94483103611134"/>
    <n v="180.45914334702593"/>
    <n v="809.300000000000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3E694-29C8-434A-9D31-389AC94FBDA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9:B24" firstHeaderRow="1" firstDataRow="1" firstDataCol="1"/>
  <pivotFields count="13">
    <pivotField axis="axisRow" showAll="0">
      <items count="5">
        <item x="2"/>
        <item x="0"/>
        <item x="1"/>
        <item x="3"/>
        <item t="default"/>
      </items>
    </pivotField>
    <pivotField numFmtId="2" showAll="0"/>
    <pivotField numFmtId="2" showAll="0"/>
    <pivotField dataField="1" numFmtId="2" showAll="0">
      <items count="5">
        <item x="3"/>
        <item x="2"/>
        <item x="1"/>
        <item x="0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ash ratio " fld="3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56D3C-F877-4D00-87F4-E732DC08131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1:B16" firstHeaderRow="1" firstDataRow="1" firstDataCol="1"/>
  <pivotFields count="13">
    <pivotField axis="axisRow" showAll="0">
      <items count="5">
        <item x="2"/>
        <item x="0"/>
        <item x="1"/>
        <item x="3"/>
        <item t="default"/>
      </items>
    </pivotField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ick ratio " fld="2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C72F6-47EE-4868-8136-9B29400E4D6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13">
    <pivotField axis="axisRow" showAll="0">
      <items count="5">
        <item x="2"/>
        <item x="0"/>
        <item x="1"/>
        <item x="3"/>
        <item t="default"/>
      </items>
    </pivotField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rrent ratio " fld="1" baseField="0" baseItem="0" numFmtId="2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6C335-953E-4EAC-873C-47DEEB4C8CB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21:K26" firstHeaderRow="1" firstDataRow="1" firstDataCol="1"/>
  <pivotFields count="13">
    <pivotField axis="axisRow" showAll="0">
      <items count="5">
        <item x="2"/>
        <item x="0"/>
        <item x="1"/>
        <item x="3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 working capital" fld="12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F843E-221F-4AFE-BDB0-04EC08214BF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12:K17" firstHeaderRow="1" firstDataRow="1" firstDataCol="1"/>
  <pivotFields count="13">
    <pivotField axis="axisRow" showAll="0">
      <items count="5">
        <item x="2"/>
        <item x="0"/>
        <item x="1"/>
        <item x="3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ash cycle" fld="11" baseField="0" baseItem="0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4836D-B1BC-486F-BB1C-E1359532BBB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3:K8" firstHeaderRow="1" firstDataRow="1" firstDataCol="1"/>
  <pivotFields count="13">
    <pivotField axis="axisRow" showAll="0">
      <items count="5">
        <item x="2"/>
        <item x="0"/>
        <item x="1"/>
        <item x="3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perating cycle" fld="10" baseField="0" baseItem="0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confirmed-web/image/upload/v1753852841/adidas-group/investors/financial-publications/2025/Q2/H1_2025_Report_EN_Final_xvs0k3.pdf" TargetMode="External"/><Relationship Id="rId13" Type="http://schemas.openxmlformats.org/officeDocument/2006/relationships/hyperlink" Target="https://s1.q4cdn.com/806093406/files/doc_financials/2025/ar/Nike-Inc-2025_10K.pdf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s1.q4cdn.com/806093406/files/doc_financials/2025/ar/Nike-Inc-2025_10K.pdf" TargetMode="External"/><Relationship Id="rId7" Type="http://schemas.openxmlformats.org/officeDocument/2006/relationships/hyperlink" Target="https://res.cloudinary.com/confirmed-web/image/upload/v1753852841/adidas-group/investors/financial-publications/2025/Q2/H1_2025_Report_EN_Final_xvs0k3.pdf" TargetMode="External"/><Relationship Id="rId12" Type="http://schemas.openxmlformats.org/officeDocument/2006/relationships/hyperlink" Target="https://s1.q4cdn.com/806093406/files/doc_financials/2025/ar/Nike-Inc-2025_10K.pdf" TargetMode="External"/><Relationship Id="rId17" Type="http://schemas.openxmlformats.org/officeDocument/2006/relationships/hyperlink" Target="https://about.puma.com/sites/default/files/financial-report/2025/q2-2025-half-year-financial-report-final.pdf" TargetMode="External"/><Relationship Id="rId2" Type="http://schemas.openxmlformats.org/officeDocument/2006/relationships/hyperlink" Target="https://s1.q4cdn.com/806093406/files/doc_financials/2025/ar/Nike-Inc-2025_10K.pdf" TargetMode="External"/><Relationship Id="rId16" Type="http://schemas.openxmlformats.org/officeDocument/2006/relationships/hyperlink" Target="https://about.puma.com/sites/default/files/financial-report/2025/q2-2025-half-year-financial-report-final.pdf" TargetMode="External"/><Relationship Id="rId1" Type="http://schemas.openxmlformats.org/officeDocument/2006/relationships/hyperlink" Target="https://corporate.lululemon.com/~/media/Files/L/Lululemon/investors/annual-reports/lululemon-2024-annual-report.pdf%20(Page%2051)" TargetMode="External"/><Relationship Id="rId6" Type="http://schemas.openxmlformats.org/officeDocument/2006/relationships/hyperlink" Target="https://res.cloudinary.com/confirmed-web/image/upload/v1753852841/adidas-group/investors/financial-publications/2025/Q2/H1_2025_Report_EN_Final_xvs0k3.pdf" TargetMode="External"/><Relationship Id="rId11" Type="http://schemas.openxmlformats.org/officeDocument/2006/relationships/hyperlink" Target="https://about.puma.com/sites/default/files/financial-report/2025/q2-2025-half-year-financial-report-final.pdf" TargetMode="External"/><Relationship Id="rId5" Type="http://schemas.openxmlformats.org/officeDocument/2006/relationships/hyperlink" Target="https://s1.q4cdn.com/806093406/files/doc_financials/2025/ar/Nike-Inc-2025_10K.pdf" TargetMode="External"/><Relationship Id="rId15" Type="http://schemas.openxmlformats.org/officeDocument/2006/relationships/hyperlink" Target="https://res.cloudinary.com/confirmed-web/image/upload/v1753852841/adidas-group/investors/financial-publications/2025/Q2/H1_2025_Report_EN_Final_xvs0k3.pdf" TargetMode="External"/><Relationship Id="rId10" Type="http://schemas.openxmlformats.org/officeDocument/2006/relationships/hyperlink" Target="https://about.puma.com/sites/default/files/financial-report/2025/q2-2025-half-year-financial-report-final.pdf" TargetMode="External"/><Relationship Id="rId4" Type="http://schemas.openxmlformats.org/officeDocument/2006/relationships/hyperlink" Target="https://s1.q4cdn.com/806093406/files/doc_financials/2025/ar/Nike-Inc-2025_10K.pdf" TargetMode="External"/><Relationship Id="rId9" Type="http://schemas.openxmlformats.org/officeDocument/2006/relationships/hyperlink" Target="https://res.cloudinary.com/confirmed-web/image/upload/v1753852841/adidas-group/investors/financial-publications/2025/Q2/H1_2025_Report_EN_Final_xvs0k3.pdf" TargetMode="External"/><Relationship Id="rId14" Type="http://schemas.openxmlformats.org/officeDocument/2006/relationships/hyperlink" Target="https://res.cloudinary.com/confirmed-web/image/upload/v1753852841/adidas-group/investors/financial-publications/2025/Q2/H1_2025_Report_EN_Final_xvs0k3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3E7E5-769A-4E80-8AB5-3E2534EF04B2}">
  <dimension ref="A1:T70"/>
  <sheetViews>
    <sheetView tabSelected="1" topLeftCell="D1" zoomScale="33" zoomScaleNormal="30" workbookViewId="0">
      <selection sqref="A1:C2"/>
    </sheetView>
  </sheetViews>
  <sheetFormatPr defaultRowHeight="15" x14ac:dyDescent="0.2"/>
  <cols>
    <col min="1" max="1" width="19.50390625" bestFit="1" customWidth="1"/>
    <col min="2" max="2" width="46.6796875" customWidth="1"/>
    <col min="3" max="3" width="23.13671875" customWidth="1"/>
    <col min="4" max="4" width="16.140625" customWidth="1"/>
    <col min="5" max="5" width="20.84765625" customWidth="1"/>
    <col min="6" max="6" width="24.75" bestFit="1" customWidth="1"/>
    <col min="7" max="7" width="48.42578125" bestFit="1" customWidth="1"/>
    <col min="8" max="8" width="24.48046875" customWidth="1"/>
    <col min="9" max="9" width="18.0234375" bestFit="1" customWidth="1"/>
    <col min="10" max="10" width="26.09765625" bestFit="1" customWidth="1"/>
    <col min="11" max="11" width="21.38671875" customWidth="1"/>
    <col min="12" max="12" width="48.42578125" bestFit="1" customWidth="1"/>
    <col min="13" max="13" width="25.69140625" customWidth="1"/>
    <col min="14" max="14" width="22.1953125" customWidth="1"/>
    <col min="15" max="15" width="21.1171875" customWidth="1"/>
    <col min="16" max="16" width="32.1484375" customWidth="1"/>
    <col min="17" max="17" width="48.42578125" bestFit="1" customWidth="1"/>
    <col min="18" max="18" width="32.1484375" customWidth="1"/>
    <col min="19" max="19" width="17.484375" customWidth="1"/>
  </cols>
  <sheetData>
    <row r="1" spans="1:18" x14ac:dyDescent="0.2">
      <c r="A1" s="173" t="s">
        <v>36</v>
      </c>
      <c r="B1" s="174"/>
      <c r="C1" s="174"/>
      <c r="F1" s="228" t="s">
        <v>107</v>
      </c>
      <c r="G1" s="229"/>
      <c r="K1" t="s">
        <v>7</v>
      </c>
    </row>
    <row r="2" spans="1:18" x14ac:dyDescent="0.2">
      <c r="A2" s="174"/>
      <c r="B2" s="174"/>
      <c r="C2" s="174"/>
      <c r="F2" s="229"/>
      <c r="G2" s="229"/>
    </row>
    <row r="3" spans="1:18" ht="14.45" customHeight="1" x14ac:dyDescent="0.2">
      <c r="F3" s="164" t="s">
        <v>65</v>
      </c>
      <c r="G3" s="164" t="s">
        <v>62</v>
      </c>
      <c r="H3" s="164" t="s">
        <v>61</v>
      </c>
      <c r="I3" s="164" t="s">
        <v>60</v>
      </c>
      <c r="J3" s="165" t="s">
        <v>12</v>
      </c>
      <c r="K3" s="164" t="s">
        <v>17</v>
      </c>
      <c r="L3" s="164" t="s">
        <v>21</v>
      </c>
      <c r="M3" s="164" t="s">
        <v>14</v>
      </c>
      <c r="N3" s="164" t="s">
        <v>19</v>
      </c>
      <c r="O3" s="164" t="s">
        <v>23</v>
      </c>
      <c r="P3" s="164" t="s">
        <v>8</v>
      </c>
      <c r="Q3" s="164" t="s">
        <v>10</v>
      </c>
      <c r="R3" s="164" t="s">
        <v>25</v>
      </c>
    </row>
    <row r="4" spans="1:18" ht="14.45" customHeight="1" x14ac:dyDescent="0.25">
      <c r="A4" s="9" t="s">
        <v>6</v>
      </c>
      <c r="B4" s="9" t="s">
        <v>16</v>
      </c>
      <c r="D4" s="50"/>
      <c r="E4" s="50"/>
      <c r="F4" s="166" t="s">
        <v>58</v>
      </c>
      <c r="G4" s="23">
        <f>B62</f>
        <v>2.1636416018438491</v>
      </c>
      <c r="H4" s="23">
        <f>C62</f>
        <v>1.4119415317210526</v>
      </c>
      <c r="I4" s="23">
        <f>D62</f>
        <v>1.0786625571446431</v>
      </c>
      <c r="J4" s="23">
        <f>B39</f>
        <v>86.432653061224485</v>
      </c>
      <c r="K4" s="23">
        <f>B46</f>
        <v>13.931268151016459</v>
      </c>
      <c r="L4" s="23">
        <f>B38</f>
        <v>3.1220305890009765</v>
      </c>
      <c r="M4" s="23">
        <f>D39</f>
        <v>4.2229410653570083</v>
      </c>
      <c r="N4" s="23">
        <f>D46</f>
        <v>26.200055590299488</v>
      </c>
      <c r="O4" s="23">
        <f>D38</f>
        <v>116.91109026474879</v>
      </c>
      <c r="P4" s="23">
        <f>D40</f>
        <v>121.1340313301058</v>
      </c>
      <c r="Q4" s="23">
        <f>D47</f>
        <v>94.933975739806314</v>
      </c>
      <c r="R4" s="23">
        <f>D55</f>
        <v>2140.67</v>
      </c>
    </row>
    <row r="5" spans="1:18" ht="14.45" customHeight="1" x14ac:dyDescent="0.2">
      <c r="A5" s="10" t="s">
        <v>8</v>
      </c>
      <c r="B5" s="4" t="s">
        <v>9</v>
      </c>
      <c r="D5" s="51"/>
      <c r="E5" s="51"/>
      <c r="F5" s="167" t="s">
        <v>55</v>
      </c>
      <c r="G5" s="74">
        <f>B63</f>
        <v>2.2110543251940187</v>
      </c>
      <c r="H5" s="74">
        <f>C63</f>
        <v>1.5008517887563884</v>
      </c>
      <c r="I5" s="74">
        <f>D63</f>
        <v>0.70641680863145939</v>
      </c>
      <c r="J5" s="74">
        <f>G39</f>
        <v>10.128827646544181</v>
      </c>
      <c r="K5" s="74">
        <f>G46</f>
        <v>8.3788309636650862</v>
      </c>
      <c r="L5" s="74">
        <f>G38</f>
        <v>3.5339818763326227</v>
      </c>
      <c r="M5" s="74">
        <f>I39</f>
        <v>36.035759787514309</v>
      </c>
      <c r="N5" s="74">
        <f>I46</f>
        <v>43.562162977487844</v>
      </c>
      <c r="O5" s="74">
        <f>I38</f>
        <v>103.28292922055884</v>
      </c>
      <c r="P5" s="74">
        <f>I40</f>
        <v>139.31868900807314</v>
      </c>
      <c r="Q5" s="74">
        <f>I47</f>
        <v>95.756526030585292</v>
      </c>
      <c r="R5" s="74">
        <f>I55</f>
        <v>12796</v>
      </c>
    </row>
    <row r="6" spans="1:18" x14ac:dyDescent="0.2">
      <c r="A6" s="10" t="s">
        <v>10</v>
      </c>
      <c r="B6" s="4" t="s">
        <v>11</v>
      </c>
      <c r="D6" s="51"/>
      <c r="E6" s="51"/>
      <c r="F6" s="168" t="s">
        <v>56</v>
      </c>
      <c r="G6" s="102">
        <f t="shared" ref="G6:G7" si="0">B64</f>
        <v>1.2536547260350408</v>
      </c>
      <c r="H6" s="102">
        <f t="shared" ref="H6" si="1">C64</f>
        <v>0.70656176765985934</v>
      </c>
      <c r="I6" s="102">
        <f>D64</f>
        <v>8.5704720455306332E-2</v>
      </c>
      <c r="J6" s="102">
        <f>L39</f>
        <v>4.1013044214806031</v>
      </c>
      <c r="K6" s="102">
        <f>L46</f>
        <v>2.1965296114673709</v>
      </c>
      <c r="L6" s="102">
        <f>L38</f>
        <v>1.1877613462519123</v>
      </c>
      <c r="M6" s="102">
        <f>N39</f>
        <v>88.996076001652213</v>
      </c>
      <c r="N6" s="102">
        <f>N46</f>
        <v>166.17121758543706</v>
      </c>
      <c r="O6" s="102">
        <f>N38</f>
        <v>307.3007899708054</v>
      </c>
      <c r="P6" s="102">
        <f>N40</f>
        <v>396.29686597245762</v>
      </c>
      <c r="Q6" s="102">
        <f>N47</f>
        <v>230.12564838702056</v>
      </c>
      <c r="R6" s="102">
        <f>N55</f>
        <v>2273</v>
      </c>
    </row>
    <row r="7" spans="1:18" x14ac:dyDescent="0.2">
      <c r="A7" s="10" t="s">
        <v>12</v>
      </c>
      <c r="B7" s="4" t="s">
        <v>13</v>
      </c>
      <c r="D7" s="51"/>
      <c r="E7" s="51"/>
      <c r="F7" s="169" t="s">
        <v>57</v>
      </c>
      <c r="G7" s="138">
        <f t="shared" si="0"/>
        <v>1.2313409370265558</v>
      </c>
      <c r="H7" s="138">
        <f t="shared" ref="H7" si="2">C65</f>
        <v>0.63590887002258245</v>
      </c>
      <c r="I7" s="138">
        <f>D65</f>
        <v>8.3640625446645522E-2</v>
      </c>
      <c r="J7" s="138">
        <f>Q39</f>
        <v>3.1445900997847778</v>
      </c>
      <c r="K7" s="138">
        <f>Q46</f>
        <v>1.260856807511737</v>
      </c>
      <c r="L7" s="138">
        <f>Q38</f>
        <v>1.0314450312049928</v>
      </c>
      <c r="M7" s="138">
        <f>S39</f>
        <v>116.07236187157791</v>
      </c>
      <c r="N7" s="138">
        <f>S46</f>
        <v>289.48568768908541</v>
      </c>
      <c r="O7" s="138">
        <f>S38</f>
        <v>353.87246916453341</v>
      </c>
      <c r="P7" s="138">
        <f>S40</f>
        <v>469.94483103611134</v>
      </c>
      <c r="Q7" s="138">
        <f>S47</f>
        <v>180.45914334702593</v>
      </c>
      <c r="R7" s="138">
        <f>S55</f>
        <v>809.30000000000018</v>
      </c>
    </row>
    <row r="8" spans="1:18" ht="18.600000000000001" customHeight="1" x14ac:dyDescent="0.2">
      <c r="A8" s="10" t="s">
        <v>14</v>
      </c>
      <c r="B8" s="4" t="s">
        <v>15</v>
      </c>
    </row>
    <row r="9" spans="1:18" ht="14.45" customHeight="1" x14ac:dyDescent="0.2">
      <c r="A9" s="10" t="s">
        <v>17</v>
      </c>
      <c r="B9" s="4" t="s">
        <v>18</v>
      </c>
    </row>
    <row r="10" spans="1:18" ht="14.45" customHeight="1" x14ac:dyDescent="0.2">
      <c r="A10" s="10" t="s">
        <v>19</v>
      </c>
      <c r="B10" s="4" t="s">
        <v>20</v>
      </c>
    </row>
    <row r="11" spans="1:18" ht="14.45" customHeight="1" x14ac:dyDescent="0.2">
      <c r="A11" s="10" t="s">
        <v>21</v>
      </c>
      <c r="B11" s="4" t="s">
        <v>22</v>
      </c>
    </row>
    <row r="12" spans="1:18" ht="14.45" customHeight="1" x14ac:dyDescent="0.2">
      <c r="A12" s="10" t="s">
        <v>23</v>
      </c>
      <c r="B12" s="4" t="s">
        <v>24</v>
      </c>
    </row>
    <row r="13" spans="1:18" ht="14.45" customHeight="1" x14ac:dyDescent="0.2">
      <c r="A13" s="10" t="s">
        <v>25</v>
      </c>
      <c r="B13" s="4" t="s">
        <v>26</v>
      </c>
    </row>
    <row r="14" spans="1:18" ht="14.45" customHeight="1" x14ac:dyDescent="0.2">
      <c r="A14" s="51"/>
      <c r="B14" s="51"/>
      <c r="C14" s="52"/>
    </row>
    <row r="15" spans="1:18" ht="18.75" x14ac:dyDescent="0.25">
      <c r="A15" s="9" t="s">
        <v>66</v>
      </c>
      <c r="B15" s="9" t="s">
        <v>16</v>
      </c>
    </row>
    <row r="16" spans="1:18" ht="18.600000000000001" customHeight="1" x14ac:dyDescent="0.2">
      <c r="A16" s="10" t="s">
        <v>67</v>
      </c>
      <c r="B16" s="4" t="s">
        <v>70</v>
      </c>
    </row>
    <row r="17" spans="1:20" ht="14.45" customHeight="1" x14ac:dyDescent="0.2">
      <c r="A17" s="10" t="s">
        <v>68</v>
      </c>
      <c r="B17" s="4" t="s">
        <v>87</v>
      </c>
      <c r="F17" s="240" t="s">
        <v>111</v>
      </c>
      <c r="G17" s="241"/>
    </row>
    <row r="18" spans="1:20" x14ac:dyDescent="0.2">
      <c r="A18" s="10" t="s">
        <v>69</v>
      </c>
      <c r="B18" s="4" t="s">
        <v>71</v>
      </c>
      <c r="F18" s="241"/>
      <c r="G18" s="241"/>
    </row>
    <row r="19" spans="1:20" x14ac:dyDescent="0.2">
      <c r="A19" s="51"/>
      <c r="B19" s="51"/>
    </row>
    <row r="20" spans="1:20" ht="18.600000000000001" customHeight="1" x14ac:dyDescent="0.2">
      <c r="A20" s="51"/>
      <c r="B20" s="51"/>
    </row>
    <row r="21" spans="1:20" x14ac:dyDescent="0.2">
      <c r="B21" s="175" t="s">
        <v>58</v>
      </c>
      <c r="G21" s="175" t="s">
        <v>55</v>
      </c>
      <c r="L21" s="175" t="s">
        <v>100</v>
      </c>
      <c r="Q21" s="175" t="s">
        <v>57</v>
      </c>
    </row>
    <row r="22" spans="1:20" x14ac:dyDescent="0.2">
      <c r="B22" s="176"/>
      <c r="G22" s="176"/>
      <c r="L22" s="176"/>
      <c r="Q22" s="176"/>
    </row>
    <row r="23" spans="1:20" ht="15.95" customHeight="1" x14ac:dyDescent="0.25">
      <c r="A23" s="177" t="s">
        <v>101</v>
      </c>
      <c r="B23" s="178"/>
      <c r="C23" s="178"/>
      <c r="D23" s="178"/>
      <c r="F23" s="244" t="s">
        <v>75</v>
      </c>
      <c r="G23" s="245"/>
      <c r="H23" s="245"/>
      <c r="I23" s="245"/>
      <c r="J23" s="50"/>
      <c r="K23" s="205" t="s">
        <v>82</v>
      </c>
      <c r="L23" s="206"/>
      <c r="M23" s="206"/>
      <c r="N23" s="206"/>
      <c r="P23" s="183" t="s">
        <v>88</v>
      </c>
      <c r="Q23" s="184"/>
      <c r="R23" s="184"/>
      <c r="S23" s="184"/>
    </row>
    <row r="24" spans="1:20" ht="14.45" customHeight="1" x14ac:dyDescent="0.2">
      <c r="A24" s="238"/>
      <c r="B24" s="239"/>
      <c r="C24" s="239"/>
      <c r="D24" s="239"/>
      <c r="F24" s="252"/>
      <c r="G24" s="253"/>
      <c r="H24" s="253"/>
      <c r="I24" s="253"/>
      <c r="J24" s="51"/>
      <c r="K24" s="207"/>
      <c r="L24" s="208"/>
      <c r="M24" s="208"/>
      <c r="N24" s="208"/>
      <c r="P24" s="185"/>
      <c r="Q24" s="186"/>
      <c r="R24" s="186"/>
      <c r="S24" s="186"/>
    </row>
    <row r="25" spans="1:20" ht="14.45" customHeight="1" x14ac:dyDescent="0.2">
      <c r="A25" s="3" t="s">
        <v>5</v>
      </c>
      <c r="B25" s="7" t="s">
        <v>38</v>
      </c>
      <c r="C25" s="16" t="s">
        <v>45</v>
      </c>
      <c r="D25" s="1" t="s">
        <v>37</v>
      </c>
      <c r="F25" s="53" t="s">
        <v>5</v>
      </c>
      <c r="G25" s="54" t="s">
        <v>38</v>
      </c>
      <c r="H25" s="55" t="s">
        <v>45</v>
      </c>
      <c r="I25" s="56" t="s">
        <v>37</v>
      </c>
      <c r="J25" s="51"/>
      <c r="K25" s="84" t="s">
        <v>5</v>
      </c>
      <c r="L25" s="85" t="s">
        <v>38</v>
      </c>
      <c r="M25" s="86" t="s">
        <v>45</v>
      </c>
      <c r="N25" s="87" t="s">
        <v>37</v>
      </c>
      <c r="O25" t="s">
        <v>7</v>
      </c>
      <c r="P25" s="120" t="s">
        <v>5</v>
      </c>
      <c r="Q25" s="121" t="s">
        <v>38</v>
      </c>
      <c r="R25" s="122" t="s">
        <v>45</v>
      </c>
      <c r="S25" s="123" t="s">
        <v>37</v>
      </c>
    </row>
    <row r="26" spans="1:20" x14ac:dyDescent="0.2">
      <c r="A26" s="4" t="s">
        <v>4</v>
      </c>
      <c r="B26" s="6" t="s">
        <v>29</v>
      </c>
      <c r="C26" s="17">
        <f>(120.2+124.8)/2</f>
        <v>122.5</v>
      </c>
      <c r="D26" s="2" t="s">
        <v>27</v>
      </c>
      <c r="E26" s="5" t="s">
        <v>7</v>
      </c>
      <c r="F26" s="57" t="s">
        <v>4</v>
      </c>
      <c r="G26" s="58" t="s">
        <v>76</v>
      </c>
      <c r="H26" s="59">
        <f>(4427+4717)/2</f>
        <v>4572</v>
      </c>
      <c r="I26" s="60" t="s">
        <v>79</v>
      </c>
      <c r="J26" s="51" t="s">
        <v>7</v>
      </c>
      <c r="K26" s="88" t="s">
        <v>4</v>
      </c>
      <c r="L26" s="89" t="s">
        <v>89</v>
      </c>
      <c r="M26" s="90">
        <f>(2771+3132)/2</f>
        <v>2951.5</v>
      </c>
      <c r="N26" s="91" t="s">
        <v>92</v>
      </c>
      <c r="O26" t="s">
        <v>7</v>
      </c>
      <c r="P26" s="124" t="s">
        <v>4</v>
      </c>
      <c r="Q26" s="125" t="s">
        <v>95</v>
      </c>
      <c r="R26" s="126">
        <f>(1246.5+1309)/2</f>
        <v>1277.75</v>
      </c>
      <c r="S26" s="127" t="s">
        <v>96</v>
      </c>
      <c r="T26" t="s">
        <v>7</v>
      </c>
    </row>
    <row r="27" spans="1:20" x14ac:dyDescent="0.2">
      <c r="A27" s="4" t="s">
        <v>3</v>
      </c>
      <c r="B27" s="6" t="s">
        <v>30</v>
      </c>
      <c r="C27" s="17">
        <f>(271.4+348.4)/2</f>
        <v>309.89999999999998</v>
      </c>
      <c r="D27" s="8" t="s">
        <v>33</v>
      </c>
      <c r="E27" s="5" t="s">
        <v>7</v>
      </c>
      <c r="F27" s="57" t="s">
        <v>3</v>
      </c>
      <c r="G27" s="58" t="s">
        <v>77</v>
      </c>
      <c r="H27" s="59">
        <f>(2851+3479)/2</f>
        <v>3165</v>
      </c>
      <c r="I27" s="60" t="s">
        <v>79</v>
      </c>
      <c r="J27" s="51" t="s">
        <v>7</v>
      </c>
      <c r="K27" s="88" t="s">
        <v>3</v>
      </c>
      <c r="L27" s="89" t="s">
        <v>90</v>
      </c>
      <c r="M27" s="90">
        <f>(2560+2742)/2</f>
        <v>2651</v>
      </c>
      <c r="N27" s="91" t="s">
        <v>92</v>
      </c>
      <c r="O27" t="s">
        <v>7</v>
      </c>
      <c r="P27" s="124" t="s">
        <v>3</v>
      </c>
      <c r="Q27" s="125" t="s">
        <v>93</v>
      </c>
      <c r="R27" s="126">
        <f>(1894+1514)/2</f>
        <v>1704</v>
      </c>
      <c r="S27" s="127" t="s">
        <v>96</v>
      </c>
      <c r="T27" t="s">
        <v>7</v>
      </c>
    </row>
    <row r="28" spans="1:20" ht="14.45" customHeight="1" x14ac:dyDescent="0.2">
      <c r="A28" s="11" t="s">
        <v>0</v>
      </c>
      <c r="B28" s="12" t="s">
        <v>31</v>
      </c>
      <c r="C28" s="18">
        <f>(1442.1+1323.6)/2</f>
        <v>1382.85</v>
      </c>
      <c r="D28" s="2" t="s">
        <v>28</v>
      </c>
      <c r="E28" s="5" t="s">
        <v>7</v>
      </c>
      <c r="F28" s="61" t="s">
        <v>0</v>
      </c>
      <c r="G28" s="62" t="s">
        <v>78</v>
      </c>
      <c r="H28" s="63">
        <f>(7519+7489)/2</f>
        <v>7504</v>
      </c>
      <c r="I28" s="60" t="s">
        <v>79</v>
      </c>
      <c r="J28" t="s">
        <v>7</v>
      </c>
      <c r="K28" s="92" t="s">
        <v>0</v>
      </c>
      <c r="L28" s="93" t="s">
        <v>91</v>
      </c>
      <c r="M28" s="90">
        <f>(4544+5261)/2</f>
        <v>4902.5</v>
      </c>
      <c r="N28" s="91" t="s">
        <v>92</v>
      </c>
      <c r="O28" t="s">
        <v>7</v>
      </c>
      <c r="P28" s="128" t="s">
        <v>0</v>
      </c>
      <c r="Q28" s="129" t="s">
        <v>94</v>
      </c>
      <c r="R28" s="126">
        <f>(2014+2152)/2</f>
        <v>2083</v>
      </c>
      <c r="S28" s="127" t="s">
        <v>96</v>
      </c>
      <c r="T28" t="s">
        <v>7</v>
      </c>
    </row>
    <row r="29" spans="1:20" ht="14.45" customHeight="1" x14ac:dyDescent="0.2">
      <c r="A29" s="14"/>
      <c r="B29" s="15"/>
      <c r="C29" s="14"/>
      <c r="F29" s="14"/>
      <c r="G29" s="15"/>
      <c r="H29" s="14"/>
      <c r="K29" s="14"/>
      <c r="L29" s="15"/>
      <c r="M29" s="14"/>
      <c r="P29" s="14"/>
      <c r="Q29" s="15"/>
      <c r="R29" s="14"/>
    </row>
    <row r="30" spans="1:20" x14ac:dyDescent="0.2">
      <c r="A30" s="13" t="s">
        <v>5</v>
      </c>
      <c r="B30" s="44" t="s">
        <v>35</v>
      </c>
      <c r="C30" s="47" t="s">
        <v>37</v>
      </c>
      <c r="D30" s="40"/>
      <c r="E30" s="5"/>
      <c r="F30" s="64" t="s">
        <v>5</v>
      </c>
      <c r="G30" s="65" t="s">
        <v>35</v>
      </c>
      <c r="H30" s="66" t="s">
        <v>37</v>
      </c>
      <c r="I30" s="40"/>
      <c r="K30" s="94" t="s">
        <v>5</v>
      </c>
      <c r="L30" s="95" t="s">
        <v>35</v>
      </c>
      <c r="M30" s="96" t="s">
        <v>37</v>
      </c>
      <c r="N30" s="40"/>
      <c r="P30" s="130" t="s">
        <v>5</v>
      </c>
      <c r="Q30" s="131" t="s">
        <v>35</v>
      </c>
      <c r="R30" s="132" t="s">
        <v>37</v>
      </c>
      <c r="S30" s="40"/>
    </row>
    <row r="31" spans="1:20" x14ac:dyDescent="0.2">
      <c r="A31" s="4" t="s">
        <v>1</v>
      </c>
      <c r="B31" s="45">
        <v>10588</v>
      </c>
      <c r="C31" s="48" t="s">
        <v>34</v>
      </c>
      <c r="D31" s="41" t="s">
        <v>7</v>
      </c>
      <c r="E31" s="5"/>
      <c r="F31" s="57" t="s">
        <v>1</v>
      </c>
      <c r="G31" s="67">
        <v>46309</v>
      </c>
      <c r="H31" s="68" t="s">
        <v>79</v>
      </c>
      <c r="I31" s="41" t="s">
        <v>7</v>
      </c>
      <c r="K31" s="88" t="s">
        <v>1</v>
      </c>
      <c r="L31" s="97">
        <v>12105</v>
      </c>
      <c r="M31" s="98" t="s">
        <v>92</v>
      </c>
      <c r="N31" s="41" t="s">
        <v>7</v>
      </c>
      <c r="P31" s="124" t="s">
        <v>1</v>
      </c>
      <c r="Q31" s="133">
        <v>4018</v>
      </c>
      <c r="R31" s="134" t="s">
        <v>96</v>
      </c>
      <c r="S31" s="41" t="s">
        <v>7</v>
      </c>
    </row>
    <row r="32" spans="1:20" x14ac:dyDescent="0.2">
      <c r="A32" s="4" t="s">
        <v>2</v>
      </c>
      <c r="B32" s="46">
        <v>4317.3</v>
      </c>
      <c r="C32" s="49" t="s">
        <v>32</v>
      </c>
      <c r="D32" s="42" t="s">
        <v>7</v>
      </c>
      <c r="E32" s="5"/>
      <c r="F32" s="57" t="s">
        <v>2</v>
      </c>
      <c r="G32" s="69">
        <v>26519</v>
      </c>
      <c r="H32" s="68" t="s">
        <v>79</v>
      </c>
      <c r="I32" s="42" t="s">
        <v>7</v>
      </c>
      <c r="K32" s="88" t="s">
        <v>2</v>
      </c>
      <c r="L32" s="99">
        <v>5823</v>
      </c>
      <c r="M32" s="98" t="s">
        <v>92</v>
      </c>
      <c r="N32" s="42" t="s">
        <v>7</v>
      </c>
      <c r="P32" s="124" t="s">
        <v>2</v>
      </c>
      <c r="Q32" s="135">
        <v>2148.5</v>
      </c>
      <c r="R32" s="134" t="s">
        <v>96</v>
      </c>
      <c r="S32" s="42" t="s">
        <v>7</v>
      </c>
    </row>
    <row r="33" spans="1:19" ht="18.75" x14ac:dyDescent="0.2">
      <c r="D33" s="43"/>
      <c r="E33" s="42"/>
      <c r="F33" s="51"/>
      <c r="G33" s="51"/>
    </row>
    <row r="34" spans="1:19" ht="18.75" x14ac:dyDescent="0.25">
      <c r="D34" s="19"/>
      <c r="E34" s="51"/>
      <c r="F34" s="50"/>
      <c r="G34" s="50"/>
    </row>
    <row r="35" spans="1:19" ht="14.45" customHeight="1" x14ac:dyDescent="0.2">
      <c r="A35" s="234" t="s">
        <v>74</v>
      </c>
      <c r="B35" s="235"/>
      <c r="C35" s="235"/>
      <c r="D35" s="235"/>
      <c r="F35" s="254" t="s">
        <v>80</v>
      </c>
      <c r="G35" s="255"/>
      <c r="H35" s="255"/>
      <c r="I35" s="255"/>
      <c r="K35" s="209" t="s">
        <v>83</v>
      </c>
      <c r="L35" s="210"/>
      <c r="M35" s="210"/>
      <c r="N35" s="210"/>
      <c r="P35" s="187" t="s">
        <v>97</v>
      </c>
      <c r="Q35" s="188"/>
      <c r="R35" s="188"/>
      <c r="S35" s="188"/>
    </row>
    <row r="36" spans="1:19" ht="14.45" customHeight="1" x14ac:dyDescent="0.2">
      <c r="A36" s="236"/>
      <c r="B36" s="237"/>
      <c r="C36" s="237"/>
      <c r="D36" s="237"/>
      <c r="F36" s="256"/>
      <c r="G36" s="257"/>
      <c r="H36" s="257"/>
      <c r="I36" s="257"/>
      <c r="K36" s="211"/>
      <c r="L36" s="212"/>
      <c r="M36" s="212"/>
      <c r="N36" s="212"/>
      <c r="P36" s="189"/>
      <c r="Q36" s="190"/>
      <c r="R36" s="190"/>
      <c r="S36" s="190"/>
    </row>
    <row r="37" spans="1:19" ht="14.45" customHeight="1" x14ac:dyDescent="0.2">
      <c r="A37" s="20" t="s">
        <v>46</v>
      </c>
      <c r="B37" s="20" t="s">
        <v>47</v>
      </c>
      <c r="C37" s="20" t="s">
        <v>48</v>
      </c>
      <c r="D37" s="20" t="s">
        <v>40</v>
      </c>
      <c r="F37" s="70" t="s">
        <v>46</v>
      </c>
      <c r="G37" s="70" t="s">
        <v>47</v>
      </c>
      <c r="H37" s="70" t="s">
        <v>48</v>
      </c>
      <c r="I37" s="70" t="s">
        <v>40</v>
      </c>
      <c r="K37" s="100" t="s">
        <v>46</v>
      </c>
      <c r="L37" s="100" t="s">
        <v>47</v>
      </c>
      <c r="M37" s="100" t="s">
        <v>48</v>
      </c>
      <c r="N37" s="100" t="s">
        <v>40</v>
      </c>
      <c r="P37" s="136" t="s">
        <v>46</v>
      </c>
      <c r="Q37" s="136" t="s">
        <v>47</v>
      </c>
      <c r="R37" s="136" t="s">
        <v>48</v>
      </c>
      <c r="S37" s="136" t="s">
        <v>40</v>
      </c>
    </row>
    <row r="38" spans="1:19" x14ac:dyDescent="0.2">
      <c r="A38" s="21" t="s">
        <v>41</v>
      </c>
      <c r="B38" s="23">
        <f>B32/C28</f>
        <v>3.1220305890009765</v>
      </c>
      <c r="C38" s="21" t="s">
        <v>42</v>
      </c>
      <c r="D38" s="27">
        <f>365/B38</f>
        <v>116.91109026474879</v>
      </c>
      <c r="F38" s="73" t="s">
        <v>41</v>
      </c>
      <c r="G38" s="74">
        <f>G32/H28</f>
        <v>3.5339818763326227</v>
      </c>
      <c r="H38" s="73" t="s">
        <v>42</v>
      </c>
      <c r="I38" s="75">
        <f>365/G38</f>
        <v>103.28292922055884</v>
      </c>
      <c r="K38" s="101" t="s">
        <v>41</v>
      </c>
      <c r="L38" s="102">
        <f>L32/M28</f>
        <v>1.1877613462519123</v>
      </c>
      <c r="M38" s="101" t="s">
        <v>42</v>
      </c>
      <c r="N38" s="103">
        <f>365/L38</f>
        <v>307.3007899708054</v>
      </c>
      <c r="P38" s="137" t="s">
        <v>41</v>
      </c>
      <c r="Q38" s="138">
        <f>Q32/R28</f>
        <v>1.0314450312049928</v>
      </c>
      <c r="R38" s="137" t="s">
        <v>42</v>
      </c>
      <c r="S38" s="139">
        <f>365/Q38</f>
        <v>353.87246916453341</v>
      </c>
    </row>
    <row r="39" spans="1:19" x14ac:dyDescent="0.2">
      <c r="A39" s="22" t="s">
        <v>43</v>
      </c>
      <c r="B39" s="26">
        <f>B31/C26</f>
        <v>86.432653061224485</v>
      </c>
      <c r="C39" s="22" t="s">
        <v>44</v>
      </c>
      <c r="D39" s="25">
        <f>365/B39</f>
        <v>4.2229410653570083</v>
      </c>
      <c r="F39" s="76" t="s">
        <v>43</v>
      </c>
      <c r="G39" s="77">
        <f>G31/H26</f>
        <v>10.128827646544181</v>
      </c>
      <c r="H39" s="76" t="s">
        <v>44</v>
      </c>
      <c r="I39" s="78">
        <f>365/G39</f>
        <v>36.035759787514309</v>
      </c>
      <c r="K39" s="104" t="s">
        <v>43</v>
      </c>
      <c r="L39" s="105">
        <f>L31/M26</f>
        <v>4.1013044214806031</v>
      </c>
      <c r="M39" s="104" t="s">
        <v>44</v>
      </c>
      <c r="N39" s="106">
        <f>365/L39</f>
        <v>88.996076001652213</v>
      </c>
      <c r="P39" s="140" t="s">
        <v>43</v>
      </c>
      <c r="Q39" s="141">
        <f>Q31/R26</f>
        <v>3.1445900997847778</v>
      </c>
      <c r="R39" s="140" t="s">
        <v>44</v>
      </c>
      <c r="S39" s="142">
        <f>365/Q39</f>
        <v>116.07236187157791</v>
      </c>
    </row>
    <row r="40" spans="1:19" ht="16.5" x14ac:dyDescent="0.25">
      <c r="A40" s="24" t="s">
        <v>39</v>
      </c>
      <c r="B40" s="29"/>
      <c r="C40" s="30"/>
      <c r="D40" s="28">
        <f>D38+D39</f>
        <v>121.1340313301058</v>
      </c>
      <c r="F40" s="71" t="s">
        <v>39</v>
      </c>
      <c r="G40" s="242"/>
      <c r="H40" s="243"/>
      <c r="I40" s="72">
        <f>I38+I39</f>
        <v>139.31868900807314</v>
      </c>
      <c r="K40" s="107" t="s">
        <v>39</v>
      </c>
      <c r="L40" s="213"/>
      <c r="M40" s="214"/>
      <c r="N40" s="108">
        <f>N38+N39</f>
        <v>396.29686597245762</v>
      </c>
      <c r="P40" s="143" t="s">
        <v>39</v>
      </c>
      <c r="Q40" s="191"/>
      <c r="R40" s="192"/>
      <c r="S40" s="144">
        <f>S38+S39</f>
        <v>469.94483103611134</v>
      </c>
    </row>
    <row r="43" spans="1:19" ht="14.45" customHeight="1" x14ac:dyDescent="0.2">
      <c r="A43" s="230" t="s">
        <v>73</v>
      </c>
      <c r="B43" s="231"/>
      <c r="C43" s="231"/>
      <c r="D43" s="231"/>
      <c r="F43" s="258" t="s">
        <v>81</v>
      </c>
      <c r="G43" s="259"/>
      <c r="H43" s="259"/>
      <c r="I43" s="259"/>
      <c r="K43" s="215" t="s">
        <v>84</v>
      </c>
      <c r="L43" s="216"/>
      <c r="M43" s="216"/>
      <c r="N43" s="216"/>
      <c r="P43" s="193" t="s">
        <v>98</v>
      </c>
      <c r="Q43" s="194"/>
      <c r="R43" s="194"/>
      <c r="S43" s="194"/>
    </row>
    <row r="44" spans="1:19" ht="14.45" customHeight="1" x14ac:dyDescent="0.2">
      <c r="A44" s="232"/>
      <c r="B44" s="233"/>
      <c r="C44" s="233"/>
      <c r="D44" s="233"/>
      <c r="F44" s="260"/>
      <c r="G44" s="261"/>
      <c r="H44" s="261"/>
      <c r="I44" s="261"/>
      <c r="K44" s="217"/>
      <c r="L44" s="218"/>
      <c r="M44" s="218"/>
      <c r="N44" s="218"/>
      <c r="P44" s="195"/>
      <c r="Q44" s="196"/>
      <c r="R44" s="196"/>
      <c r="S44" s="196"/>
    </row>
    <row r="45" spans="1:19" ht="18.600000000000001" customHeight="1" x14ac:dyDescent="0.2">
      <c r="A45" s="20" t="s">
        <v>46</v>
      </c>
      <c r="B45" s="20" t="s">
        <v>47</v>
      </c>
      <c r="C45" s="20" t="s">
        <v>48</v>
      </c>
      <c r="D45" s="20" t="s">
        <v>40</v>
      </c>
      <c r="F45" s="70" t="s">
        <v>46</v>
      </c>
      <c r="G45" s="70" t="s">
        <v>47</v>
      </c>
      <c r="H45" s="70" t="s">
        <v>48</v>
      </c>
      <c r="I45" s="70" t="s">
        <v>40</v>
      </c>
      <c r="K45" s="100" t="s">
        <v>46</v>
      </c>
      <c r="L45" s="100" t="s">
        <v>47</v>
      </c>
      <c r="M45" s="100" t="s">
        <v>48</v>
      </c>
      <c r="N45" s="100" t="s">
        <v>40</v>
      </c>
      <c r="P45" s="136" t="s">
        <v>46</v>
      </c>
      <c r="Q45" s="136" t="s">
        <v>47</v>
      </c>
      <c r="R45" s="136" t="s">
        <v>48</v>
      </c>
      <c r="S45" s="136" t="s">
        <v>40</v>
      </c>
    </row>
    <row r="46" spans="1:19" x14ac:dyDescent="0.2">
      <c r="A46" s="21" t="s">
        <v>49</v>
      </c>
      <c r="B46" s="23">
        <f>B32/C27</f>
        <v>13.931268151016459</v>
      </c>
      <c r="C46" s="21" t="s">
        <v>50</v>
      </c>
      <c r="D46" s="27">
        <f>365/B46</f>
        <v>26.200055590299488</v>
      </c>
      <c r="F46" s="73" t="s">
        <v>49</v>
      </c>
      <c r="G46" s="74">
        <f>G32/H27</f>
        <v>8.3788309636650862</v>
      </c>
      <c r="H46" s="73" t="s">
        <v>50</v>
      </c>
      <c r="I46" s="75">
        <f>365/G46</f>
        <v>43.562162977487844</v>
      </c>
      <c r="K46" s="101" t="s">
        <v>49</v>
      </c>
      <c r="L46" s="102">
        <f>L32/M27</f>
        <v>2.1965296114673709</v>
      </c>
      <c r="M46" s="101" t="s">
        <v>50</v>
      </c>
      <c r="N46" s="103">
        <f>365/L46</f>
        <v>166.17121758543706</v>
      </c>
      <c r="P46" s="137" t="s">
        <v>49</v>
      </c>
      <c r="Q46" s="138">
        <f>Q32/R27</f>
        <v>1.260856807511737</v>
      </c>
      <c r="R46" s="137" t="s">
        <v>50</v>
      </c>
      <c r="S46" s="139">
        <f>365/Q46</f>
        <v>289.48568768908541</v>
      </c>
    </row>
    <row r="47" spans="1:19" ht="16.5" x14ac:dyDescent="0.25">
      <c r="A47" s="31" t="s">
        <v>51</v>
      </c>
      <c r="B47" s="29"/>
      <c r="C47" s="30"/>
      <c r="D47" s="28">
        <f>D40-D46</f>
        <v>94.933975739806314</v>
      </c>
      <c r="F47" s="79" t="s">
        <v>51</v>
      </c>
      <c r="G47" s="242"/>
      <c r="H47" s="243"/>
      <c r="I47" s="72">
        <f>I40-I46</f>
        <v>95.756526030585292</v>
      </c>
      <c r="K47" s="109" t="s">
        <v>51</v>
      </c>
      <c r="L47" s="213"/>
      <c r="M47" s="214"/>
      <c r="N47" s="108">
        <f>N40-N46</f>
        <v>230.12564838702056</v>
      </c>
      <c r="P47" s="145" t="s">
        <v>51</v>
      </c>
      <c r="Q47" s="191"/>
      <c r="R47" s="192"/>
      <c r="S47" s="144">
        <f>S40-S46</f>
        <v>180.45914334702593</v>
      </c>
    </row>
    <row r="50" spans="1:19" ht="14.45" customHeight="1" x14ac:dyDescent="0.2">
      <c r="A50" s="177" t="s">
        <v>72</v>
      </c>
      <c r="B50" s="178"/>
      <c r="C50" s="178"/>
      <c r="D50" s="178"/>
      <c r="F50" s="244" t="s">
        <v>86</v>
      </c>
      <c r="G50" s="245"/>
      <c r="H50" s="245"/>
      <c r="I50" s="245"/>
      <c r="K50" s="219" t="s">
        <v>85</v>
      </c>
      <c r="L50" s="220"/>
      <c r="M50" s="220"/>
      <c r="N50" s="220"/>
      <c r="P50" s="197" t="s">
        <v>99</v>
      </c>
      <c r="Q50" s="198"/>
      <c r="R50" s="198"/>
      <c r="S50" s="198"/>
    </row>
    <row r="51" spans="1:19" ht="14.45" customHeight="1" x14ac:dyDescent="0.2">
      <c r="A51" s="179"/>
      <c r="B51" s="180"/>
      <c r="C51" s="180"/>
      <c r="D51" s="180"/>
      <c r="F51" s="246"/>
      <c r="G51" s="247"/>
      <c r="H51" s="247"/>
      <c r="I51" s="247"/>
      <c r="K51" s="221"/>
      <c r="L51" s="222"/>
      <c r="M51" s="222"/>
      <c r="N51" s="222"/>
      <c r="P51" s="199"/>
      <c r="Q51" s="200"/>
      <c r="R51" s="200"/>
      <c r="S51" s="200"/>
    </row>
    <row r="52" spans="1:19" ht="21" customHeight="1" x14ac:dyDescent="0.2">
      <c r="A52" s="20" t="s">
        <v>46</v>
      </c>
      <c r="B52" s="32"/>
      <c r="C52" s="33"/>
      <c r="D52" s="36" t="s">
        <v>35</v>
      </c>
      <c r="F52" s="70" t="s">
        <v>46</v>
      </c>
      <c r="G52" s="80"/>
      <c r="H52" s="81"/>
      <c r="I52" s="82" t="s">
        <v>35</v>
      </c>
      <c r="K52" s="110" t="s">
        <v>46</v>
      </c>
      <c r="L52" s="111"/>
      <c r="M52" s="112"/>
      <c r="N52" s="113" t="s">
        <v>35</v>
      </c>
      <c r="P52" s="150" t="s">
        <v>46</v>
      </c>
      <c r="Q52" s="151"/>
      <c r="R52" s="152"/>
      <c r="S52" s="153" t="s">
        <v>35</v>
      </c>
    </row>
    <row r="53" spans="1:19" x14ac:dyDescent="0.2">
      <c r="A53" s="21" t="s">
        <v>53</v>
      </c>
      <c r="B53" s="34"/>
      <c r="C53" s="35"/>
      <c r="D53" s="27">
        <v>3980.3</v>
      </c>
      <c r="F53" s="73" t="s">
        <v>53</v>
      </c>
      <c r="G53" s="248"/>
      <c r="H53" s="249"/>
      <c r="I53" s="75">
        <v>23362</v>
      </c>
      <c r="K53" s="114" t="s">
        <v>53</v>
      </c>
      <c r="L53" s="223"/>
      <c r="M53" s="224"/>
      <c r="N53" s="115">
        <v>11234</v>
      </c>
      <c r="P53" s="146" t="s">
        <v>53</v>
      </c>
      <c r="Q53" s="201"/>
      <c r="R53" s="202"/>
      <c r="S53" s="147">
        <v>4307.6000000000004</v>
      </c>
    </row>
    <row r="54" spans="1:19" x14ac:dyDescent="0.2">
      <c r="A54" s="22" t="s">
        <v>54</v>
      </c>
      <c r="B54" s="34"/>
      <c r="C54" s="35"/>
      <c r="D54" s="25">
        <v>1839.63</v>
      </c>
      <c r="F54" s="76" t="s">
        <v>54</v>
      </c>
      <c r="G54" s="248"/>
      <c r="H54" s="249"/>
      <c r="I54" s="78">
        <v>10566</v>
      </c>
      <c r="K54" s="116" t="s">
        <v>54</v>
      </c>
      <c r="L54" s="223"/>
      <c r="M54" s="224"/>
      <c r="N54" s="117">
        <v>8961</v>
      </c>
      <c r="P54" s="148" t="s">
        <v>54</v>
      </c>
      <c r="Q54" s="201"/>
      <c r="R54" s="202"/>
      <c r="S54" s="149">
        <v>3498.3</v>
      </c>
    </row>
    <row r="55" spans="1:19" x14ac:dyDescent="0.2">
      <c r="A55" s="37" t="s">
        <v>52</v>
      </c>
      <c r="B55" s="38"/>
      <c r="C55" s="39"/>
      <c r="D55" s="28">
        <f>D53-D54</f>
        <v>2140.67</v>
      </c>
      <c r="F55" s="83" t="s">
        <v>52</v>
      </c>
      <c r="G55" s="250"/>
      <c r="H55" s="251"/>
      <c r="I55" s="72">
        <f>I53-I54</f>
        <v>12796</v>
      </c>
      <c r="K55" s="118" t="s">
        <v>52</v>
      </c>
      <c r="L55" s="181"/>
      <c r="M55" s="182"/>
      <c r="N55" s="119">
        <f>N53-N54</f>
        <v>2273</v>
      </c>
      <c r="P55" s="154" t="s">
        <v>52</v>
      </c>
      <c r="Q55" s="203"/>
      <c r="R55" s="204"/>
      <c r="S55" s="155">
        <f>S53-S54</f>
        <v>809.30000000000018</v>
      </c>
    </row>
    <row r="60" spans="1:19" ht="21" x14ac:dyDescent="0.2">
      <c r="A60" s="225" t="s">
        <v>64</v>
      </c>
      <c r="B60" s="226"/>
      <c r="C60" s="226"/>
      <c r="D60" s="226"/>
      <c r="E60" s="227"/>
    </row>
    <row r="61" spans="1:19" ht="18.75" x14ac:dyDescent="0.25">
      <c r="A61" s="158" t="s">
        <v>65</v>
      </c>
      <c r="B61" s="156" t="s">
        <v>62</v>
      </c>
      <c r="C61" s="156" t="s">
        <v>61</v>
      </c>
      <c r="D61" s="156" t="s">
        <v>60</v>
      </c>
      <c r="E61" s="159" t="s">
        <v>59</v>
      </c>
      <c r="F61" s="50"/>
      <c r="G61" s="50"/>
    </row>
    <row r="62" spans="1:19" x14ac:dyDescent="0.2">
      <c r="A62" s="160" t="s">
        <v>58</v>
      </c>
      <c r="B62" s="157">
        <f>D53/D54</f>
        <v>2.1636416018438491</v>
      </c>
      <c r="C62" s="157">
        <f>(D53-C28)/D54</f>
        <v>1.4119415317210526</v>
      </c>
      <c r="D62" s="157">
        <f>1984.34/D54</f>
        <v>1.0786625571446431</v>
      </c>
      <c r="E62" s="161" t="s">
        <v>63</v>
      </c>
      <c r="F62" s="51" t="s">
        <v>7</v>
      </c>
      <c r="G62" s="51"/>
    </row>
    <row r="63" spans="1:19" x14ac:dyDescent="0.2">
      <c r="A63" s="160" t="s">
        <v>55</v>
      </c>
      <c r="B63" s="157">
        <f>I53/I54</f>
        <v>2.2110543251940187</v>
      </c>
      <c r="C63" s="157">
        <f>(I53-H28)/I54</f>
        <v>1.5008517887563884</v>
      </c>
      <c r="D63" s="157">
        <f>7464/I54</f>
        <v>0.70641680863145939</v>
      </c>
      <c r="E63" s="162" t="s">
        <v>79</v>
      </c>
      <c r="F63" s="51" t="s">
        <v>7</v>
      </c>
      <c r="G63" s="51"/>
    </row>
    <row r="64" spans="1:19" x14ac:dyDescent="0.2">
      <c r="A64" s="160" t="s">
        <v>56</v>
      </c>
      <c r="B64" s="157">
        <f>N53/N54</f>
        <v>1.2536547260350408</v>
      </c>
      <c r="C64" s="157">
        <f>(N53-M28)/N54</f>
        <v>0.70656176765985934</v>
      </c>
      <c r="D64" s="157">
        <f>768/N54</f>
        <v>8.5704720455306332E-2</v>
      </c>
      <c r="E64" s="163" t="s">
        <v>92</v>
      </c>
      <c r="F64" s="51" t="s">
        <v>7</v>
      </c>
      <c r="G64" s="51"/>
    </row>
    <row r="65" spans="1:7" x14ac:dyDescent="0.2">
      <c r="A65" s="160" t="s">
        <v>57</v>
      </c>
      <c r="B65" s="157">
        <f>S53/S54</f>
        <v>1.2313409370265558</v>
      </c>
      <c r="C65" s="157">
        <f>(S53-R28)/S54</f>
        <v>0.63590887002258245</v>
      </c>
      <c r="D65" s="157">
        <f>292.6/S54</f>
        <v>8.3640625446645522E-2</v>
      </c>
      <c r="E65" s="163" t="s">
        <v>96</v>
      </c>
      <c r="F65" s="51" t="s">
        <v>7</v>
      </c>
      <c r="G65" s="51"/>
    </row>
    <row r="66" spans="1:7" x14ac:dyDescent="0.2">
      <c r="F66" s="51"/>
      <c r="G66" s="51"/>
    </row>
    <row r="67" spans="1:7" ht="18.75" x14ac:dyDescent="0.25">
      <c r="A67" s="50"/>
      <c r="B67" s="50"/>
      <c r="F67" s="51"/>
      <c r="G67" s="51"/>
    </row>
    <row r="68" spans="1:7" x14ac:dyDescent="0.2">
      <c r="A68" s="51"/>
      <c r="B68" s="51"/>
      <c r="F68" s="51"/>
      <c r="G68" s="51"/>
    </row>
    <row r="69" spans="1:7" x14ac:dyDescent="0.2">
      <c r="A69" s="51"/>
      <c r="B69" s="51"/>
      <c r="F69" s="51"/>
      <c r="G69" s="51"/>
    </row>
    <row r="70" spans="1:7" x14ac:dyDescent="0.2">
      <c r="A70" s="51"/>
      <c r="B70" s="51"/>
      <c r="F70" s="51"/>
      <c r="G70" s="51"/>
    </row>
  </sheetData>
  <mergeCells count="39">
    <mergeCell ref="F43:I44"/>
    <mergeCell ref="G21:G22"/>
    <mergeCell ref="L53:M53"/>
    <mergeCell ref="L54:M54"/>
    <mergeCell ref="A60:E60"/>
    <mergeCell ref="F1:G2"/>
    <mergeCell ref="A43:D44"/>
    <mergeCell ref="A35:D36"/>
    <mergeCell ref="A23:D24"/>
    <mergeCell ref="F17:G18"/>
    <mergeCell ref="G47:H47"/>
    <mergeCell ref="F50:I51"/>
    <mergeCell ref="G53:H53"/>
    <mergeCell ref="G54:H54"/>
    <mergeCell ref="G55:H55"/>
    <mergeCell ref="F23:I24"/>
    <mergeCell ref="F35:I36"/>
    <mergeCell ref="G40:H40"/>
    <mergeCell ref="K43:N44"/>
    <mergeCell ref="L47:M47"/>
    <mergeCell ref="L21:L22"/>
    <mergeCell ref="Q21:Q22"/>
    <mergeCell ref="K50:N51"/>
    <mergeCell ref="A1:C2"/>
    <mergeCell ref="B21:B22"/>
    <mergeCell ref="A50:D51"/>
    <mergeCell ref="L55:M55"/>
    <mergeCell ref="P23:S24"/>
    <mergeCell ref="P35:S36"/>
    <mergeCell ref="Q40:R40"/>
    <mergeCell ref="P43:S44"/>
    <mergeCell ref="Q47:R47"/>
    <mergeCell ref="P50:S51"/>
    <mergeCell ref="Q53:R53"/>
    <mergeCell ref="Q54:R54"/>
    <mergeCell ref="Q55:R55"/>
    <mergeCell ref="K23:N24"/>
    <mergeCell ref="K35:N36"/>
    <mergeCell ref="L40:M40"/>
  </mergeCells>
  <hyperlinks>
    <hyperlink ref="C32" r:id="rId1" xr:uid="{044B1B9A-F373-456C-84FA-0DBD61B367A2}"/>
    <hyperlink ref="I26" r:id="rId2" xr:uid="{572E60FC-6741-48BF-A8C0-0D6717B3718C}"/>
    <hyperlink ref="H31" r:id="rId3" xr:uid="{EA1C5D7D-DA85-4816-AA05-1137A8C9CF2D}"/>
    <hyperlink ref="H32" r:id="rId4" xr:uid="{ECB4FBFD-43EA-4585-A0EB-6B57E4CC163F}"/>
    <hyperlink ref="I27:I28" r:id="rId5" display="https://s1.q4cdn.com/806093406/files/doc_financials/2025/ar/Nike-Inc-2025_10K.pdf" xr:uid="{29667F3E-FF6A-4180-A3F8-2BB252A1963F}"/>
    <hyperlink ref="N26" r:id="rId6" xr:uid="{CA9E56F7-892A-4D1A-ADFC-17CB86CFF06E}"/>
    <hyperlink ref="N27:N28" r:id="rId7" display="https://res.cloudinary.com/confirmed-web/image/upload/v1753852841/adidas-group/investors/financial-publications/2025/Q2/H1_2025_Report_EN_Final_xvs0k3.pdf" xr:uid="{3F25FD4C-4623-4EEE-9750-3A192EF0E5E8}"/>
    <hyperlink ref="M31" r:id="rId8" xr:uid="{D7EC6510-4DA9-4600-BB7D-29DB24B88301}"/>
    <hyperlink ref="M32" r:id="rId9" xr:uid="{AEAB59B8-CB0C-410A-9F89-1AE162105948}"/>
    <hyperlink ref="S26" r:id="rId10" xr:uid="{3A0CD61F-A06B-433E-A2FF-2D5767A87E02}"/>
    <hyperlink ref="S27:S28" r:id="rId11" display="https://about.puma.com/sites/default/files/financial-report/2025/q2-2025-half-year-financial-report-final.pdf" xr:uid="{08DDBF91-B6D9-4112-B5E4-E548CBEB4B7B}"/>
    <hyperlink ref="I28" r:id="rId12" xr:uid="{868E3C29-6D3D-4A8C-97DC-EA078FC6C5B1}"/>
    <hyperlink ref="E63" r:id="rId13" xr:uid="{05E6C90C-69F8-407A-887E-A9BE7FFF8180}"/>
    <hyperlink ref="N28" r:id="rId14" xr:uid="{7EAE0A2D-BC31-4494-90A6-3CC8AD6D189E}"/>
    <hyperlink ref="E64" r:id="rId15" xr:uid="{7A770C4C-7F82-4958-A854-D1048FA42919}"/>
    <hyperlink ref="S28" r:id="rId16" xr:uid="{63E10832-4808-40D7-9F2C-FA35F7D6AC74}"/>
    <hyperlink ref="E65" r:id="rId17" xr:uid="{259A6026-7E65-4E51-93A6-342C6DE8A45D}"/>
  </hyperlinks>
  <pageMargins left="0.7" right="0.7" top="0.75" bottom="0.75" header="0.3" footer="0.3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55C5-574C-4863-A5E6-AA8583AE5273}">
  <dimension ref="A1:K26"/>
  <sheetViews>
    <sheetView zoomScale="53" zoomScaleNormal="58" workbookViewId="0">
      <selection activeCell="K34" sqref="K34"/>
    </sheetView>
  </sheetViews>
  <sheetFormatPr defaultRowHeight="15" x14ac:dyDescent="0.2"/>
  <cols>
    <col min="1" max="1" width="12.375" bestFit="1" customWidth="1"/>
    <col min="2" max="2" width="18.6953125" bestFit="1" customWidth="1"/>
    <col min="4" max="4" width="12.375" bestFit="1" customWidth="1"/>
    <col min="5" max="5" width="16.140625" bestFit="1" customWidth="1"/>
    <col min="6" max="8" width="4.3046875" bestFit="1" customWidth="1"/>
    <col min="9" max="9" width="10.76171875" bestFit="1" customWidth="1"/>
    <col min="10" max="10" width="12.64453125" bestFit="1" customWidth="1"/>
    <col min="11" max="11" width="23.9453125" bestFit="1" customWidth="1"/>
    <col min="12" max="12" width="15.87109375" bestFit="1" customWidth="1"/>
  </cols>
  <sheetData>
    <row r="1" spans="1:11" x14ac:dyDescent="0.2">
      <c r="A1" s="262"/>
      <c r="B1" s="262"/>
      <c r="C1" s="262"/>
    </row>
    <row r="2" spans="1:11" x14ac:dyDescent="0.2">
      <c r="A2" s="262"/>
      <c r="B2" s="262"/>
      <c r="C2" s="262"/>
    </row>
    <row r="3" spans="1:11" x14ac:dyDescent="0.2">
      <c r="A3" s="170" t="s">
        <v>102</v>
      </c>
      <c r="B3" t="s">
        <v>104</v>
      </c>
      <c r="J3" s="170" t="s">
        <v>102</v>
      </c>
      <c r="K3" t="s">
        <v>108</v>
      </c>
    </row>
    <row r="4" spans="1:11" x14ac:dyDescent="0.2">
      <c r="A4" s="171" t="s">
        <v>56</v>
      </c>
      <c r="B4" s="172">
        <v>1.2536547260350408</v>
      </c>
      <c r="J4" s="171" t="s">
        <v>56</v>
      </c>
      <c r="K4" s="172">
        <v>396.29686597245762</v>
      </c>
    </row>
    <row r="5" spans="1:11" x14ac:dyDescent="0.2">
      <c r="A5" s="171" t="s">
        <v>58</v>
      </c>
      <c r="B5" s="172">
        <v>2.1636416018438491</v>
      </c>
      <c r="J5" s="171" t="s">
        <v>58</v>
      </c>
      <c r="K5" s="172">
        <v>121.1340313301058</v>
      </c>
    </row>
    <row r="6" spans="1:11" x14ac:dyDescent="0.2">
      <c r="A6" s="171" t="s">
        <v>55</v>
      </c>
      <c r="B6" s="172">
        <v>2.2110543251940187</v>
      </c>
      <c r="J6" s="171" t="s">
        <v>55</v>
      </c>
      <c r="K6" s="172">
        <v>139.31868900807314</v>
      </c>
    </row>
    <row r="7" spans="1:11" x14ac:dyDescent="0.2">
      <c r="A7" s="171" t="s">
        <v>57</v>
      </c>
      <c r="B7" s="172">
        <v>1.2313409370265558</v>
      </c>
      <c r="J7" s="171" t="s">
        <v>57</v>
      </c>
      <c r="K7" s="172">
        <v>469.94483103611134</v>
      </c>
    </row>
    <row r="8" spans="1:11" x14ac:dyDescent="0.2">
      <c r="A8" s="171" t="s">
        <v>103</v>
      </c>
      <c r="B8" s="172">
        <v>6.8596915900994642</v>
      </c>
      <c r="J8" s="171" t="s">
        <v>103</v>
      </c>
      <c r="K8" s="172">
        <v>1126.6944173467477</v>
      </c>
    </row>
    <row r="11" spans="1:11" x14ac:dyDescent="0.2">
      <c r="A11" s="170" t="s">
        <v>102</v>
      </c>
      <c r="B11" t="s">
        <v>105</v>
      </c>
    </row>
    <row r="12" spans="1:11" x14ac:dyDescent="0.2">
      <c r="A12" s="171" t="s">
        <v>56</v>
      </c>
      <c r="B12" s="172">
        <v>0.70656176765985934</v>
      </c>
      <c r="J12" s="170" t="s">
        <v>102</v>
      </c>
      <c r="K12" t="s">
        <v>109</v>
      </c>
    </row>
    <row r="13" spans="1:11" x14ac:dyDescent="0.2">
      <c r="A13" s="171" t="s">
        <v>58</v>
      </c>
      <c r="B13" s="172">
        <v>1.4119415317210526</v>
      </c>
      <c r="J13" s="171" t="s">
        <v>56</v>
      </c>
      <c r="K13" s="172">
        <v>230.12564838702056</v>
      </c>
    </row>
    <row r="14" spans="1:11" x14ac:dyDescent="0.2">
      <c r="A14" s="171" t="s">
        <v>55</v>
      </c>
      <c r="B14" s="172">
        <v>1.5008517887563884</v>
      </c>
      <c r="J14" s="171" t="s">
        <v>58</v>
      </c>
      <c r="K14" s="172">
        <v>94.933975739806314</v>
      </c>
    </row>
    <row r="15" spans="1:11" x14ac:dyDescent="0.2">
      <c r="A15" s="171" t="s">
        <v>57</v>
      </c>
      <c r="B15" s="172">
        <v>0.63590887002258245</v>
      </c>
      <c r="J15" s="171" t="s">
        <v>55</v>
      </c>
      <c r="K15" s="172">
        <v>95.756526030585292</v>
      </c>
    </row>
    <row r="16" spans="1:11" x14ac:dyDescent="0.2">
      <c r="A16" s="171" t="s">
        <v>103</v>
      </c>
      <c r="B16" s="172">
        <v>4.2552639581598832</v>
      </c>
      <c r="J16" s="171" t="s">
        <v>57</v>
      </c>
      <c r="K16" s="172">
        <v>180.45914334702593</v>
      </c>
    </row>
    <row r="17" spans="1:11" x14ac:dyDescent="0.2">
      <c r="J17" s="171" t="s">
        <v>103</v>
      </c>
      <c r="K17" s="172">
        <v>601.27529350443808</v>
      </c>
    </row>
    <row r="19" spans="1:11" x14ac:dyDescent="0.2">
      <c r="A19" s="170" t="s">
        <v>102</v>
      </c>
      <c r="B19" t="s">
        <v>106</v>
      </c>
    </row>
    <row r="20" spans="1:11" x14ac:dyDescent="0.2">
      <c r="A20" s="171" t="s">
        <v>56</v>
      </c>
      <c r="B20" s="172">
        <v>8.5704720455306332E-2</v>
      </c>
    </row>
    <row r="21" spans="1:11" x14ac:dyDescent="0.2">
      <c r="A21" s="171" t="s">
        <v>58</v>
      </c>
      <c r="B21" s="172">
        <v>1.0786625571446431</v>
      </c>
      <c r="J21" s="170" t="s">
        <v>102</v>
      </c>
      <c r="K21" t="s">
        <v>110</v>
      </c>
    </row>
    <row r="22" spans="1:11" x14ac:dyDescent="0.2">
      <c r="A22" s="171" t="s">
        <v>55</v>
      </c>
      <c r="B22" s="172">
        <v>0.70641680863145939</v>
      </c>
      <c r="J22" s="171" t="s">
        <v>56</v>
      </c>
      <c r="K22" s="172">
        <v>2273</v>
      </c>
    </row>
    <row r="23" spans="1:11" x14ac:dyDescent="0.2">
      <c r="A23" s="171" t="s">
        <v>57</v>
      </c>
      <c r="B23" s="172">
        <v>8.3640625446645522E-2</v>
      </c>
      <c r="J23" s="171" t="s">
        <v>58</v>
      </c>
      <c r="K23" s="172">
        <v>2140.67</v>
      </c>
    </row>
    <row r="24" spans="1:11" x14ac:dyDescent="0.2">
      <c r="A24" s="171" t="s">
        <v>103</v>
      </c>
      <c r="B24" s="172">
        <v>1.9544247116780542</v>
      </c>
      <c r="J24" s="171" t="s">
        <v>55</v>
      </c>
      <c r="K24" s="172">
        <v>12796</v>
      </c>
    </row>
    <row r="25" spans="1:11" x14ac:dyDescent="0.2">
      <c r="J25" s="171" t="s">
        <v>57</v>
      </c>
      <c r="K25" s="172">
        <v>809.30000000000018</v>
      </c>
    </row>
    <row r="26" spans="1:11" x14ac:dyDescent="0.2">
      <c r="J26" s="171" t="s">
        <v>103</v>
      </c>
      <c r="K26" s="172">
        <v>18018.969999999998</v>
      </c>
    </row>
  </sheetData>
  <mergeCells count="1">
    <mergeCell ref="A1:C2"/>
  </mergeCell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 Working Capital</vt:lpstr>
      <vt:lpstr>Charts NWC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Wafa Salman</dc:creator>
  <cp:lastModifiedBy>Mohamed Baqer Husain Ghulam Ali</cp:lastModifiedBy>
  <dcterms:created xsi:type="dcterms:W3CDTF">2025-09-22T09:29:08Z</dcterms:created>
  <dcterms:modified xsi:type="dcterms:W3CDTF">2025-11-24T23:18:21Z</dcterms:modified>
</cp:coreProperties>
</file>